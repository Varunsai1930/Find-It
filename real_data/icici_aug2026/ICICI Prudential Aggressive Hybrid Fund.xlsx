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mc:AlternateContent xmlns:mc="http://schemas.openxmlformats.org/markup-compatibility/2006">
    <mc:Choice Requires="x15">
      <x15ac:absPath xmlns:x15ac="http://schemas.microsoft.com/office/spreadsheetml/2010/11/ac" url="\\MUMCHFNP01\RatingFinance\Factseet Mandates\ICICI PRUDENTIAL FACTSHEET\2026\September\Portfolio Stage 8\Output\"/>
    </mc:Choice>
  </mc:AlternateContent>
  <xr:revisionPtr revIDLastSave="0" documentId="13_ncr:1_{68E649F2-182C-4DCC-BD89-FBB83C386677}" xr6:coauthVersionLast="47" xr6:coauthVersionMax="47" xr10:uidLastSave="{00000000-0000-0000-0000-000000000000}"/>
  <bookViews>
    <workbookView xWindow="-110" yWindow="-110" windowWidth="19420" windowHeight="11620" xr2:uid="{00000000-000D-0000-FFFF-FFFF00000000}"/>
  </bookViews>
  <sheets>
    <sheet name="E&amp;DF" sheetId="2" r:id="rId1"/>
    <sheet name="Derivative" sheetId="3"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5" i="2" l="1"/>
  <c r="G5" i="2"/>
</calcChain>
</file>

<file path=xl/sharedStrings.xml><?xml version="1.0" encoding="utf-8"?>
<sst xmlns="http://schemas.openxmlformats.org/spreadsheetml/2006/main" count="2015" uniqueCount="676">
  <si>
    <t>ICICI Prudential Mutual Fund</t>
  </si>
  <si>
    <t>ICICI Prudential Aggressive Hybrid Fund</t>
  </si>
  <si>
    <t>Portfolio as on Aug 31,2026</t>
  </si>
  <si>
    <t>Company/Issuer/Instrument Name</t>
  </si>
  <si>
    <t>ISIN</t>
  </si>
  <si>
    <t>Coupon</t>
  </si>
  <si>
    <t>Industry/Rating</t>
  </si>
  <si>
    <t>Quantity</t>
  </si>
  <si>
    <t>Exposure/Market Value(Rs.Lakh)</t>
  </si>
  <si>
    <t>% to Nav</t>
  </si>
  <si>
    <t>Yield of the instrument</t>
  </si>
  <si>
    <t>Yield to Call @</t>
  </si>
  <si>
    <t>Equity &amp; Equity Related Instruments (Note -1)</t>
  </si>
  <si>
    <t/>
  </si>
  <si>
    <t>Listed / Awaiting Listing On Stock Exchanges</t>
  </si>
  <si>
    <t>HDFC Bank Ltd.</t>
  </si>
  <si>
    <t>INE040A01034</t>
  </si>
  <si>
    <t>Banks</t>
  </si>
  <si>
    <t>ICICI Bank Ltd.</t>
  </si>
  <si>
    <t>INE090A01021</t>
  </si>
  <si>
    <t>Reliance Industries Ltd.</t>
  </si>
  <si>
    <t>INE002A01018</t>
  </si>
  <si>
    <t>Petroleum Products</t>
  </si>
  <si>
    <t>Sun Pharmaceutical Industries Ltd.</t>
  </si>
  <si>
    <t>INE044A01036</t>
  </si>
  <si>
    <t>Pharmaceuticals &amp; Biotechnology</t>
  </si>
  <si>
    <t>TVS Motor Company Ltd.</t>
  </si>
  <si>
    <t>INE494B01023</t>
  </si>
  <si>
    <t>Automobiles</t>
  </si>
  <si>
    <t>NTPC Ltd.</t>
  </si>
  <si>
    <t>INE733E01010</t>
  </si>
  <si>
    <t>Power</t>
  </si>
  <si>
    <t>Life Insurance Corporation of India</t>
  </si>
  <si>
    <t>INE0J1Y01017</t>
  </si>
  <si>
    <t>Insurance</t>
  </si>
  <si>
    <t>Avenue Supermarts Ltd.</t>
  </si>
  <si>
    <t>INE192R01011</t>
  </si>
  <si>
    <t>Retailing</t>
  </si>
  <si>
    <t>Axis Bank Ltd.</t>
  </si>
  <si>
    <t>INE238A01034</t>
  </si>
  <si>
    <t>Interglobe Aviation Ltd.</t>
  </si>
  <si>
    <t>INE646L01027</t>
  </si>
  <si>
    <t>Transport Services</t>
  </si>
  <si>
    <t>Hindustan Unilever Ltd.</t>
  </si>
  <si>
    <t>INE030A01027</t>
  </si>
  <si>
    <t>Diversified Fmcg</t>
  </si>
  <si>
    <t>Bharti Airtel Ltd.</t>
  </si>
  <si>
    <t>INE397D01024</t>
  </si>
  <si>
    <t>Telecom - Services</t>
  </si>
  <si>
    <t>Eternal Ltd.</t>
  </si>
  <si>
    <t>INE758T01015</t>
  </si>
  <si>
    <t>Tata Consultancy Services Ltd.</t>
  </si>
  <si>
    <t>INE467B01029</t>
  </si>
  <si>
    <t>It - Software</t>
  </si>
  <si>
    <t>Larsen &amp; Toubro Ltd.</t>
  </si>
  <si>
    <t>INE018A01030</t>
  </si>
  <si>
    <t>Construction</t>
  </si>
  <si>
    <t>SBI Life Insurance Company Ltd.</t>
  </si>
  <si>
    <t>INE123W01016</t>
  </si>
  <si>
    <t>Maruti Suzuki India Ltd.</t>
  </si>
  <si>
    <t>INE585B01010</t>
  </si>
  <si>
    <t>ITC Ltd.</t>
  </si>
  <si>
    <t>INE154A01025</t>
  </si>
  <si>
    <t>State Bank Of India</t>
  </si>
  <si>
    <t>INE062A01020</t>
  </si>
  <si>
    <t>Kotak Mahindra Bank Ltd.</t>
  </si>
  <si>
    <t>INE237A01036</t>
  </si>
  <si>
    <t>Ultratech Cement Ltd.</t>
  </si>
  <si>
    <t>INE481G01011</t>
  </si>
  <si>
    <t>Cement &amp; Cement Products</t>
  </si>
  <si>
    <t>Kalpataru Projects International Ltd</t>
  </si>
  <si>
    <t>INE220B01022</t>
  </si>
  <si>
    <t>Tata Steel Ltd.</t>
  </si>
  <si>
    <t>INE081A01020</t>
  </si>
  <si>
    <t>Ferrous Metals</t>
  </si>
  <si>
    <t>Cummins India Ltd.</t>
  </si>
  <si>
    <t>INE298A01020</t>
  </si>
  <si>
    <t>Industrial Products</t>
  </si>
  <si>
    <t>General Insurance Corporation of India</t>
  </si>
  <si>
    <t>INE481Y01014</t>
  </si>
  <si>
    <t>Samvardhana Motherson International Ltd.</t>
  </si>
  <si>
    <t>INE775A01035</t>
  </si>
  <si>
    <t>Auto Components</t>
  </si>
  <si>
    <t>Oil &amp; Natural Gas Corporation Ltd.</t>
  </si>
  <si>
    <t>INE213A01029</t>
  </si>
  <si>
    <t>Oil</t>
  </si>
  <si>
    <t>IndusInd Bank Ltd.</t>
  </si>
  <si>
    <t>INE095A01012</t>
  </si>
  <si>
    <t>Ambuja Cements Ltd.</t>
  </si>
  <si>
    <t>INE079A01024</t>
  </si>
  <si>
    <t>ABB India Ltd.</t>
  </si>
  <si>
    <t>INE117A01022</t>
  </si>
  <si>
    <t>Electrical Equipment</t>
  </si>
  <si>
    <t>Chalet Hotels Ltd.</t>
  </si>
  <si>
    <t>INE427F01016</t>
  </si>
  <si>
    <t>Leisure Services</t>
  </si>
  <si>
    <t>Oil India Ltd.</t>
  </si>
  <si>
    <t>INE274J01014</t>
  </si>
  <si>
    <t>Britannia Industries Ltd.</t>
  </si>
  <si>
    <t>INE216A01030</t>
  </si>
  <si>
    <t>Food Products</t>
  </si>
  <si>
    <t>Info Edge (India) Ltd.</t>
  </si>
  <si>
    <t>INE663F01032</t>
  </si>
  <si>
    <t>Indian Oil Corporation Ltd.</t>
  </si>
  <si>
    <t>INE242A01010</t>
  </si>
  <si>
    <t>Dr. Reddy's Laboratories Ltd.</t>
  </si>
  <si>
    <t>INE089A01031</t>
  </si>
  <si>
    <t>Dr Agarwal's Health Care Ltd</t>
  </si>
  <si>
    <t>INE943P01029</t>
  </si>
  <si>
    <t>Healthcare Services</t>
  </si>
  <si>
    <t>Hyundai Motor India Ltd.</t>
  </si>
  <si>
    <t>INE0V6F01027</t>
  </si>
  <si>
    <t>Leela Palaces Hotels &amp; Resorts Ltd.</t>
  </si>
  <si>
    <t>INE0AQ201015</t>
  </si>
  <si>
    <t>Tata Motors Ltd.</t>
  </si>
  <si>
    <t>INE1TAE01010</t>
  </si>
  <si>
    <t>Agricultural, Commercial &amp; Construction Vehicles</t>
  </si>
  <si>
    <t>Physicswallah Ltd.</t>
  </si>
  <si>
    <t>INE0LP301011</t>
  </si>
  <si>
    <t>Other Consumer Services</t>
  </si>
  <si>
    <t>Mahindra &amp; Mahindra Ltd.</t>
  </si>
  <si>
    <t>INE101A01026</t>
  </si>
  <si>
    <t>Inox Wind Ltd.</t>
  </si>
  <si>
    <t>INE066P01011</t>
  </si>
  <si>
    <t>Bharat Petroleum Corporation Ltd.</t>
  </si>
  <si>
    <t>INE029A01011</t>
  </si>
  <si>
    <t>Bajaj Finance Ltd.</t>
  </si>
  <si>
    <t>INE296A01032</t>
  </si>
  <si>
    <t>Finance</t>
  </si>
  <si>
    <t>Indian Railway Catering and Tourism Corporation Ltd.</t>
  </si>
  <si>
    <t>INE335Y01020</t>
  </si>
  <si>
    <t>Adani Ports and Special Economic Zone Ltd.</t>
  </si>
  <si>
    <t>INE742F01042</t>
  </si>
  <si>
    <t>Transport Infrastructure</t>
  </si>
  <si>
    <t>Mphasis Ltd.</t>
  </si>
  <si>
    <t>INE356A01018</t>
  </si>
  <si>
    <t>ICICI Lombard General Insurance Company Ltd.</t>
  </si>
  <si>
    <t>INE765G01017</t>
  </si>
  <si>
    <t>Trent Ltd.</t>
  </si>
  <si>
    <t>INE849A01020</t>
  </si>
  <si>
    <t>Biocon Ltd.</t>
  </si>
  <si>
    <t>INE376G01013</t>
  </si>
  <si>
    <t>PI Industries Ltd.</t>
  </si>
  <si>
    <t>INE603J01030</t>
  </si>
  <si>
    <t>Fertilizers &amp; Agrochemicals</t>
  </si>
  <si>
    <t>Page Industries Ltd.</t>
  </si>
  <si>
    <t>INE761H01022</t>
  </si>
  <si>
    <t>Textiles &amp; Apparels</t>
  </si>
  <si>
    <t>Bajaj Finserv Ltd.</t>
  </si>
  <si>
    <t>INE918I01026</t>
  </si>
  <si>
    <t>Pidilite Industries Ltd.</t>
  </si>
  <si>
    <t>INE318A01026</t>
  </si>
  <si>
    <t>Chemicals &amp; Petrochemicals</t>
  </si>
  <si>
    <t>Hindustan Aeronautics Ltd.</t>
  </si>
  <si>
    <t>INE066F01020</t>
  </si>
  <si>
    <t>Aerospace &amp; Defense</t>
  </si>
  <si>
    <t>Jubilant Foodworks Ltd.</t>
  </si>
  <si>
    <t>INE797F01020</t>
  </si>
  <si>
    <t>ICICI Prudential Life Insurance Company Ltd.</t>
  </si>
  <si>
    <t>INE726G01019</t>
  </si>
  <si>
    <t>JSW Cement Ltd.</t>
  </si>
  <si>
    <t>INE718I01012</t>
  </si>
  <si>
    <t>SBI Funds Management Ltd.</t>
  </si>
  <si>
    <t>INE640G01020</t>
  </si>
  <si>
    <t>Capital Markets</t>
  </si>
  <si>
    <t>Tega Industries Ltd.</t>
  </si>
  <si>
    <t>INE011K01018</t>
  </si>
  <si>
    <t>Industrial Manufacturing</t>
  </si>
  <si>
    <t>Techno Electric &amp; Engineering Company Ltd.</t>
  </si>
  <si>
    <t>INE285K01026</t>
  </si>
  <si>
    <t>Manipal Health Enterprises Ltd.</t>
  </si>
  <si>
    <t>INE459N01021</t>
  </si>
  <si>
    <t>Aditya Vision Ltd</t>
  </si>
  <si>
    <t>INE679V01027</t>
  </si>
  <si>
    <t>Central Bank Of India</t>
  </si>
  <si>
    <t>INE483A01010</t>
  </si>
  <si>
    <t>Bandhan Bank Ltd.</t>
  </si>
  <si>
    <t>INE545U01014</t>
  </si>
  <si>
    <t>Infosys Ltd.</t>
  </si>
  <si>
    <t>INE009A01021</t>
  </si>
  <si>
    <t>Cohance Lifesciences Ltd.</t>
  </si>
  <si>
    <t>INE03QK01018</t>
  </si>
  <si>
    <t>NCC Ltd.</t>
  </si>
  <si>
    <t>INE868B01028</t>
  </si>
  <si>
    <t>Medplus Health Services Ltd</t>
  </si>
  <si>
    <t>INE804L01022</t>
  </si>
  <si>
    <t>Wework India Management Ltd</t>
  </si>
  <si>
    <t>INE085001019</t>
  </si>
  <si>
    <t>Commercial Services &amp; Supplies</t>
  </si>
  <si>
    <t>Apollo Tyres Ltd.</t>
  </si>
  <si>
    <t>INE438A01022</t>
  </si>
  <si>
    <t>The Phoenix Mills Ltd.</t>
  </si>
  <si>
    <t>INE211B01039</t>
  </si>
  <si>
    <t>Realty</t>
  </si>
  <si>
    <t>DLF Ltd.</t>
  </si>
  <si>
    <t>INE271C01023</t>
  </si>
  <si>
    <t>Mahindra Lifespace Developers Ltd.</t>
  </si>
  <si>
    <t>INE813A01018</t>
  </si>
  <si>
    <t>HDFC Life Insurance Company Ltd.</t>
  </si>
  <si>
    <t>INE795G01014</t>
  </si>
  <si>
    <t>Emmvee Photovoltaic Power Ltd.</t>
  </si>
  <si>
    <t>INE1C6T01020</t>
  </si>
  <si>
    <t>Canara HSBC Life Insurance Co Ltd</t>
  </si>
  <si>
    <t>INE01TY01017</t>
  </si>
  <si>
    <t>Shree Cements Ltd.</t>
  </si>
  <si>
    <t>INE070A01015</t>
  </si>
  <si>
    <t>Cholamandalam Investment And Finance Company Ltd.</t>
  </si>
  <si>
    <t>INE121A01024</t>
  </si>
  <si>
    <t>Tata Communications Ltd.</t>
  </si>
  <si>
    <t>INE151A01013</t>
  </si>
  <si>
    <t>Powerica Ltd</t>
  </si>
  <si>
    <t>INE921L01032</t>
  </si>
  <si>
    <t>PCBL Chemical Ltd.</t>
  </si>
  <si>
    <t>INE602A01031</t>
  </si>
  <si>
    <t>PB Fintech Ltd.</t>
  </si>
  <si>
    <t>INE417T01026</t>
  </si>
  <si>
    <t>Financial Technology (Fintech)</t>
  </si>
  <si>
    <t>HCL Technologies Ltd.</t>
  </si>
  <si>
    <t>INE860A01027</t>
  </si>
  <si>
    <t>SIEMENS ENERGY INDIA LTD</t>
  </si>
  <si>
    <t>INE1NPP01017</t>
  </si>
  <si>
    <t>Adani Energy Solutions Ltd.</t>
  </si>
  <si>
    <t>INE931S01010</t>
  </si>
  <si>
    <t>Motherson Sumi Wiring India Ltd.</t>
  </si>
  <si>
    <t>INE0FS801015</t>
  </si>
  <si>
    <t>Shadowfax Technologies Ltd</t>
  </si>
  <si>
    <t>INE12UN01015</t>
  </si>
  <si>
    <t>Swiggy Ltd</t>
  </si>
  <si>
    <t>INE00H001014</t>
  </si>
  <si>
    <t>Acme Solar Holdings Ltd</t>
  </si>
  <si>
    <t>INE622W01025</t>
  </si>
  <si>
    <t>HDB Financial Services Ltd.</t>
  </si>
  <si>
    <t>INE756I01012</t>
  </si>
  <si>
    <t>Blue Star Ltd.</t>
  </si>
  <si>
    <t>INE472A01039</t>
  </si>
  <si>
    <t>Consumer Durables</t>
  </si>
  <si>
    <t>Oberoi Realty Ltd.</t>
  </si>
  <si>
    <t>INE093I01010</t>
  </si>
  <si>
    <t>Voltamp Transformers Ltd.</t>
  </si>
  <si>
    <t>INE540H01012</t>
  </si>
  <si>
    <t>Coromandel International Ltd.</t>
  </si>
  <si>
    <t>INE169A01031</t>
  </si>
  <si>
    <t>Tata Consumer Products Ltd.</t>
  </si>
  <si>
    <t>INE192A01025</t>
  </si>
  <si>
    <t>Agricultural Food &amp; Other Products</t>
  </si>
  <si>
    <t>Equitas Small Finance Bank Ltd.</t>
  </si>
  <si>
    <t>INE063P01018</t>
  </si>
  <si>
    <t>Turtlemint Fintech Solutions Ltd</t>
  </si>
  <si>
    <t>INE0OC301013</t>
  </si>
  <si>
    <t>Brainbees Solutions Ltd.</t>
  </si>
  <si>
    <t>INE02RE01045</t>
  </si>
  <si>
    <t>Jsw Dulux Ltd.</t>
  </si>
  <si>
    <t>INE133A01011</t>
  </si>
  <si>
    <t>EIH Ltd.</t>
  </si>
  <si>
    <t>INE230A01023</t>
  </si>
  <si>
    <t>Apar Industries Ltd.</t>
  </si>
  <si>
    <t>INE372A01015</t>
  </si>
  <si>
    <t>CMS Info Systems Ltd</t>
  </si>
  <si>
    <t>INE925R01014</t>
  </si>
  <si>
    <t>KNR Constructions Ltd.</t>
  </si>
  <si>
    <t>INE634I01029</t>
  </si>
  <si>
    <t>Teamlease Services Ltd.</t>
  </si>
  <si>
    <t>INE985S01024</t>
  </si>
  <si>
    <t>The India Cements Ltd.</t>
  </si>
  <si>
    <t>INE383A01012</t>
  </si>
  <si>
    <t>International Gemmological Institute (India) Ltd.</t>
  </si>
  <si>
    <t>INE0Q9301021</t>
  </si>
  <si>
    <t>NHPC Ltd.</t>
  </si>
  <si>
    <t>INE848E01016</t>
  </si>
  <si>
    <t>PDS Ltd</t>
  </si>
  <si>
    <t>INE111Q01021</t>
  </si>
  <si>
    <t>Sandhar Technologies Ltd.</t>
  </si>
  <si>
    <t>INE278H01035</t>
  </si>
  <si>
    <t>GMM Pfaudler Ltd.</t>
  </si>
  <si>
    <t>INE541A01023</t>
  </si>
  <si>
    <t>Tata Power Company Ltd.</t>
  </si>
  <si>
    <t>INE245A01021</t>
  </si>
  <si>
    <t>GSPL India Transco Ltd</t>
  </si>
  <si>
    <t>INE1TUG01013</t>
  </si>
  <si>
    <t>Gas</t>
  </si>
  <si>
    <t>Jagran Prakashan Ltd.</t>
  </si>
  <si>
    <t>INE199G01027</t>
  </si>
  <si>
    <t>Media</t>
  </si>
  <si>
    <t>JK Tyre &amp; Industries Ltd.</t>
  </si>
  <si>
    <t>INE573A01042</t>
  </si>
  <si>
    <t>V-Mart Retail Ltd.</t>
  </si>
  <si>
    <t>INE665J01013</t>
  </si>
  <si>
    <t>SBI Cards &amp; Payment Services Ltd.</t>
  </si>
  <si>
    <t>INE018E01016</t>
  </si>
  <si>
    <t>^</t>
  </si>
  <si>
    <t>NTPC Ltd. (Covered call) $$</t>
  </si>
  <si>
    <t>Adani Ports and Special Economic Zone Ltd. (Covered call) $$</t>
  </si>
  <si>
    <t>Interglobe Aviation Ltd. (Covered call) $$</t>
  </si>
  <si>
    <t>ITC Ltd. (Covered call) $$</t>
  </si>
  <si>
    <t>Oil &amp; Natural Gas Corporation Ltd. (Covered call) $$</t>
  </si>
  <si>
    <t>Sun Pharmaceutical Industries Ltd. (Covered call) $$</t>
  </si>
  <si>
    <t>Larsen &amp; Toubro Ltd. (Covered call) $$</t>
  </si>
  <si>
    <t>Kotak Mahindra Bank Ltd. (Covered call) $$</t>
  </si>
  <si>
    <t>Ultratech Cement Ltd. (Covered call) $$</t>
  </si>
  <si>
    <t>Tata Consultancy Services Ltd. (Covered call) $$</t>
  </si>
  <si>
    <t>Units of Real Estate Investment Trust (REITs)</t>
  </si>
  <si>
    <t>EMBASSY OFFICE PARKS REIT</t>
  </si>
  <si>
    <t>INE041025011</t>
  </si>
  <si>
    <t>MINDSPACE BUSINESS PARKS REIT</t>
  </si>
  <si>
    <t>INE0CCU25019</t>
  </si>
  <si>
    <t>Brookfield India Real Estate Trust REIT</t>
  </si>
  <si>
    <t>INE0FDU25010</t>
  </si>
  <si>
    <t>Nexus Select Trust</t>
  </si>
  <si>
    <t>INE0NDH25011</t>
  </si>
  <si>
    <t>Compulsory Convertible Debenture</t>
  </si>
  <si>
    <t>Samvardhana Motherson International Ltd. **</t>
  </si>
  <si>
    <t>INE775A08105</t>
  </si>
  <si>
    <t>Unlisted</t>
  </si>
  <si>
    <t>Nil</t>
  </si>
  <si>
    <t>Debt Instruments</t>
  </si>
  <si>
    <t>Government Securities</t>
  </si>
  <si>
    <t>IN0020250018</t>
  </si>
  <si>
    <t>SOV</t>
  </si>
  <si>
    <t>IN0020250075</t>
  </si>
  <si>
    <t>State Government of Madhya Pradesh</t>
  </si>
  <si>
    <t>IN2120250138</t>
  </si>
  <si>
    <t>State Government of Rajasthan</t>
  </si>
  <si>
    <t>IN2920250171</t>
  </si>
  <si>
    <t>IN0020260025</t>
  </si>
  <si>
    <t>IN2120250120</t>
  </si>
  <si>
    <t>IN2920250213</t>
  </si>
  <si>
    <t>State Government of Maharashtra</t>
  </si>
  <si>
    <t>IN2220250301</t>
  </si>
  <si>
    <t>IN2920250338</t>
  </si>
  <si>
    <t>State Government of Himachal pradesh</t>
  </si>
  <si>
    <t>IN1720250084</t>
  </si>
  <si>
    <t>IN2920250221</t>
  </si>
  <si>
    <t>State Government of Tamil Nadu</t>
  </si>
  <si>
    <t>IN3120250300</t>
  </si>
  <si>
    <t>IN2120250195</t>
  </si>
  <si>
    <t>State Government of Uttar Pradesh</t>
  </si>
  <si>
    <t>IN3320250092</t>
  </si>
  <si>
    <t>State Government of Telangana</t>
  </si>
  <si>
    <t>IN4520250684</t>
  </si>
  <si>
    <t>State Government of Andhra Pradesh</t>
  </si>
  <si>
    <t>IN1020250321</t>
  </si>
  <si>
    <t>IN1020250339</t>
  </si>
  <si>
    <t>IN0020200120</t>
  </si>
  <si>
    <t>IN0020210137</t>
  </si>
  <si>
    <t>IN2120250187</t>
  </si>
  <si>
    <t>IN2920250296</t>
  </si>
  <si>
    <t>State Government of Haryana</t>
  </si>
  <si>
    <t>IN1620250135</t>
  </si>
  <si>
    <t>IN2220250376</t>
  </si>
  <si>
    <t>IN2220240427</t>
  </si>
  <si>
    <t>IN4520250528</t>
  </si>
  <si>
    <t>IN2220240435</t>
  </si>
  <si>
    <t>IN2920250312</t>
  </si>
  <si>
    <t>IN1620250192</t>
  </si>
  <si>
    <t>IN1020250313</t>
  </si>
  <si>
    <t>IN1620250184</t>
  </si>
  <si>
    <t>IN3320250050</t>
  </si>
  <si>
    <t>IN1620250325</t>
  </si>
  <si>
    <t>State Government of Odisha</t>
  </si>
  <si>
    <t>IN2720250082</t>
  </si>
  <si>
    <t>State Government of Karnataka</t>
  </si>
  <si>
    <t>IN1920240257</t>
  </si>
  <si>
    <t>IN2220250319</t>
  </si>
  <si>
    <t>State Government of West Bengal</t>
  </si>
  <si>
    <t>IN3420240241</t>
  </si>
  <si>
    <t>IN0020230101</t>
  </si>
  <si>
    <t>IN0020230010</t>
  </si>
  <si>
    <t>IN3320250126</t>
  </si>
  <si>
    <t>Non-Convertible debentures / Bonds</t>
  </si>
  <si>
    <t>Cholamandalam Investment And Finance Company Ltd. **</t>
  </si>
  <si>
    <t>INE121A07SU3</t>
  </si>
  <si>
    <t>ICRA AA+</t>
  </si>
  <si>
    <t>Tata Capital Ltd. **</t>
  </si>
  <si>
    <t>INE976I07DE9</t>
  </si>
  <si>
    <t>CRISIL AAA</t>
  </si>
  <si>
    <t>Muthoot Finance Ltd. **</t>
  </si>
  <si>
    <t>INE414G07JX2</t>
  </si>
  <si>
    <t>CRISIL AA+</t>
  </si>
  <si>
    <t>Bajaj Finance Ltd. **</t>
  </si>
  <si>
    <t>INE296A07UB9</t>
  </si>
  <si>
    <t>Bharti Telecom Ltd. **</t>
  </si>
  <si>
    <t>INE403D08207</t>
  </si>
  <si>
    <t>Bajaj Housing Finance Ltd.</t>
  </si>
  <si>
    <t>INE377Y07664</t>
  </si>
  <si>
    <t>INE414G07JG7</t>
  </si>
  <si>
    <t>Manappuram Finance Ltd. **</t>
  </si>
  <si>
    <t>INE522D07CL9</t>
  </si>
  <si>
    <t>CRISIL AA</t>
  </si>
  <si>
    <t>360 One Prime Ltd **</t>
  </si>
  <si>
    <t>INE248U07GG6</t>
  </si>
  <si>
    <t>ICRA AA</t>
  </si>
  <si>
    <t>Small Industries Development Bank Of India. **</t>
  </si>
  <si>
    <t>INE556F08KM1</t>
  </si>
  <si>
    <t>Adani Enterprises Ltd. **</t>
  </si>
  <si>
    <t>INE423A07476</t>
  </si>
  <si>
    <t>ICRA AA-</t>
  </si>
  <si>
    <t>NABARD</t>
  </si>
  <si>
    <t>INE261F08DV4</t>
  </si>
  <si>
    <t>Yes Bank Ltd. **</t>
  </si>
  <si>
    <t>INE528G08345</t>
  </si>
  <si>
    <t>Godrej Industries Ltd. **</t>
  </si>
  <si>
    <t>INE233A08204</t>
  </si>
  <si>
    <t>INE233A08212</t>
  </si>
  <si>
    <t>Indostar Capital Finance Ltd. **</t>
  </si>
  <si>
    <t>INE896L07AG4</t>
  </si>
  <si>
    <t>CARE AA-</t>
  </si>
  <si>
    <t>Vedanta Ltd. **</t>
  </si>
  <si>
    <t>INE205A08095</t>
  </si>
  <si>
    <t>Bamboo Hotels &amp; Global Centre (Delhi) Pvt Ltd. **</t>
  </si>
  <si>
    <t>INE755L07015</t>
  </si>
  <si>
    <t>ICRA A+(CE)</t>
  </si>
  <si>
    <t>Vedanta Ltd.</t>
  </si>
  <si>
    <t>INE205A08038</t>
  </si>
  <si>
    <t>INE414G07JI3</t>
  </si>
  <si>
    <t>INE414G07IR6</t>
  </si>
  <si>
    <t>Oberoi Realty Ltd. **</t>
  </si>
  <si>
    <t>INE093I07082</t>
  </si>
  <si>
    <t>CARE AA+</t>
  </si>
  <si>
    <t>INE414G07KC4</t>
  </si>
  <si>
    <t>Kogta Financial (India) Ltd. **</t>
  </si>
  <si>
    <t>INE192U07392</t>
  </si>
  <si>
    <t>Power Finance Corporation Ltd. **</t>
  </si>
  <si>
    <t>INE134E08OC3</t>
  </si>
  <si>
    <t>INE522D07CI5</t>
  </si>
  <si>
    <t>DLF Cyber City Developers Ltd. **</t>
  </si>
  <si>
    <t>INE186K07098</t>
  </si>
  <si>
    <t>ICRA AAA</t>
  </si>
  <si>
    <t>INE414G07JB8</t>
  </si>
  <si>
    <t>JM Financial Credit Solution Ltd. **</t>
  </si>
  <si>
    <t>INE651J07960</t>
  </si>
  <si>
    <t>INE261F08EK5</t>
  </si>
  <si>
    <t>INE556F08KS8</t>
  </si>
  <si>
    <t>Godrej Properties Ltd. **</t>
  </si>
  <si>
    <t>INE484J08089</t>
  </si>
  <si>
    <t>INE414G07IQ8</t>
  </si>
  <si>
    <t>HDFC Bank Ltd. ( Additional Tier I Bond under Basel III ) **</t>
  </si>
  <si>
    <t>INE040A08419</t>
  </si>
  <si>
    <t>NABARD **</t>
  </si>
  <si>
    <t>INE261F08EJ7</t>
  </si>
  <si>
    <t>INE261F08EO7</t>
  </si>
  <si>
    <t>INE261F08EU4</t>
  </si>
  <si>
    <t>Motilal Oswal Financial Services Ltd. **</t>
  </si>
  <si>
    <t>INE338I07198</t>
  </si>
  <si>
    <t>Bahadur Chand Investments Pvt. Ltd. **</t>
  </si>
  <si>
    <t>INE087M08126</t>
  </si>
  <si>
    <t>Tyger Capital Private Ltd. **</t>
  </si>
  <si>
    <t>INE01EQ07103</t>
  </si>
  <si>
    <t>CRISIL A+</t>
  </si>
  <si>
    <t>INE01EQ07095</t>
  </si>
  <si>
    <t>INE087M08134</t>
  </si>
  <si>
    <t>Mankind Pharma Ltd</t>
  </si>
  <si>
    <t>INE634S07025</t>
  </si>
  <si>
    <t>Hiranandani Financial Services Pvt Ltd **</t>
  </si>
  <si>
    <t>INE07UF07042</t>
  </si>
  <si>
    <t>CARE A+</t>
  </si>
  <si>
    <t>INE484J08071</t>
  </si>
  <si>
    <t>Zero Coupon Bonds / Deep Discount Bonds</t>
  </si>
  <si>
    <t>Securitized Debt Instruments</t>
  </si>
  <si>
    <t>India Universal Trust AL1 **</t>
  </si>
  <si>
    <t>INE16J715035</t>
  </si>
  <si>
    <t>FITCH AAA(SO)</t>
  </si>
  <si>
    <t>India Universal Trust AL2 **</t>
  </si>
  <si>
    <t>INE1CBK15037</t>
  </si>
  <si>
    <t>CRISIL AAA(SO)</t>
  </si>
  <si>
    <t>INE1CBK15029</t>
  </si>
  <si>
    <t>INE16J715027</t>
  </si>
  <si>
    <t>Sansar Trust **</t>
  </si>
  <si>
    <t>INE14LF15016</t>
  </si>
  <si>
    <t>Radhakrishna Securitization Trust **</t>
  </si>
  <si>
    <t>INE2I7H15018</t>
  </si>
  <si>
    <t>Privately Placed/Unlisted</t>
  </si>
  <si>
    <t>Non Convertible Preference Shares</t>
  </si>
  <si>
    <t>INE494B04019</t>
  </si>
  <si>
    <t>CARE A1+</t>
  </si>
  <si>
    <t>Term Deposits</t>
  </si>
  <si>
    <t>Deposits (maturity not exceeding 91 days)</t>
  </si>
  <si>
    <t>Deposits (Placed as Margin)</t>
  </si>
  <si>
    <t>Money Market Instruments</t>
  </si>
  <si>
    <t>Certificate of Deposits</t>
  </si>
  <si>
    <t>HDFC Bank Ltd. **</t>
  </si>
  <si>
    <t>INE040A16IU7</t>
  </si>
  <si>
    <t>CRISIL A1+</t>
  </si>
  <si>
    <t>Punjab National Bank</t>
  </si>
  <si>
    <t>INE160A16UI3</t>
  </si>
  <si>
    <t>Union Bank Of India **</t>
  </si>
  <si>
    <t>INE692A16LZ8</t>
  </si>
  <si>
    <t>ICRA A1+</t>
  </si>
  <si>
    <t>INE556F16BX0</t>
  </si>
  <si>
    <t>Export-Import Bank Of India **</t>
  </si>
  <si>
    <t>INE514E16CP6</t>
  </si>
  <si>
    <t>INE040A16IZ6</t>
  </si>
  <si>
    <t>Bank Of Baroda **</t>
  </si>
  <si>
    <t>INE028A16LI1</t>
  </si>
  <si>
    <t>FITCH A1+</t>
  </si>
  <si>
    <t>INE556F16BV4</t>
  </si>
  <si>
    <t>Canara Bank **</t>
  </si>
  <si>
    <t>INE476A16G10</t>
  </si>
  <si>
    <t>Punjab National Bank **</t>
  </si>
  <si>
    <t>INE160A16UD4</t>
  </si>
  <si>
    <t>INE556F16CC2</t>
  </si>
  <si>
    <t>Union Bank Of India</t>
  </si>
  <si>
    <t>INE692A16LN4</t>
  </si>
  <si>
    <t>INE261F16AH2</t>
  </si>
  <si>
    <t>INE028A16LD2</t>
  </si>
  <si>
    <t>INE028A16LE0</t>
  </si>
  <si>
    <t>Commercial Papers</t>
  </si>
  <si>
    <t>Treasury Bills</t>
  </si>
  <si>
    <t>91 Days Treasury Bills</t>
  </si>
  <si>
    <t>IN002026X180</t>
  </si>
  <si>
    <t>IN002026X131</t>
  </si>
  <si>
    <t>IN002026X156</t>
  </si>
  <si>
    <t>364 Days Treasury Bills</t>
  </si>
  <si>
    <t>IN002025Z286</t>
  </si>
  <si>
    <t>IN002026X115</t>
  </si>
  <si>
    <t>IN002025Z252</t>
  </si>
  <si>
    <t>IN002026X123</t>
  </si>
  <si>
    <t>182 Days Treasury Bills</t>
  </si>
  <si>
    <t>IN002026Y030</t>
  </si>
  <si>
    <t>IN002025Z294</t>
  </si>
  <si>
    <t>IN002025Y487</t>
  </si>
  <si>
    <t>Units of Infrastructure Investment Trusts (InvITs)</t>
  </si>
  <si>
    <t>Altius Telecom Infrastructure Trust</t>
  </si>
  <si>
    <t>INE0BWS23018</t>
  </si>
  <si>
    <t>Units of Infrastructure Investment Trusts</t>
  </si>
  <si>
    <t>Indus Infra Trust</t>
  </si>
  <si>
    <t>INE0NHL23019</t>
  </si>
  <si>
    <t>Units of an Alternative Investment Fund (AIF)</t>
  </si>
  <si>
    <t>TREPS</t>
  </si>
  <si>
    <t>Others</t>
  </si>
  <si>
    <t>Cash Margin - Derivatives</t>
  </si>
  <si>
    <t>Net Current Assets</t>
  </si>
  <si>
    <t>Total Net Assets</t>
  </si>
  <si>
    <t xml:space="preserve">INTEREST RATE SWAPS (At Notional Value) </t>
  </si>
  <si>
    <t>Interest Rate Swaps- MD -21-Feb-2029 (Pay float/receive fixed)</t>
  </si>
  <si>
    <t>Interest Rate Swaps- MD -03-Sep-2029 (Pay float/receive fixed)</t>
  </si>
  <si>
    <t>Interest Rate Swaps- MD -13-Aug-2031 (Pay fixed/receive float)</t>
  </si>
  <si>
    <t>Interest Rate Swaps- MD -27-Aug-2031 (Pay fixed/receive float)</t>
  </si>
  <si>
    <t>Details of Stock Future / Index Future</t>
  </si>
  <si>
    <t>Stock / Index Futures</t>
  </si>
  <si>
    <t>Shree Cement Ltd. $$</t>
  </si>
  <si>
    <t>Dr. Reddy's Laboratories Ltd. $$</t>
  </si>
  <si>
    <t>ICICI Bank Ltd. $$</t>
  </si>
  <si>
    <t>Blue Star Ltd. $$</t>
  </si>
  <si>
    <t>Swiggy Ltd. $$</t>
  </si>
  <si>
    <t>SBI Cards and Payment Services Ltd. $$</t>
  </si>
  <si>
    <t>PI Industries Ltd. $$</t>
  </si>
  <si>
    <t>HDFC Life Insurance Company Ltd $$</t>
  </si>
  <si>
    <t>Indian Oil Corporation Ltd. $$</t>
  </si>
  <si>
    <t>Avenue Supermarts Ltd. $$</t>
  </si>
  <si>
    <t>NHPC Ltd. $$</t>
  </si>
  <si>
    <t>IndusInd Bank Ltd. $$</t>
  </si>
  <si>
    <t>Note- 1 : Index/ Stock futures are provided towards end of the table.</t>
  </si>
  <si>
    <t>Notes</t>
  </si>
  <si>
    <t>1. Details of security in default beyond its maturity date and its % to NAV as on Aug 31,2026</t>
  </si>
  <si>
    <t>2. Total Value and Percentage of Non Traded/Unlisted/Unquoted/Illiquid shares</t>
  </si>
  <si>
    <t>33314.81</t>
  </si>
  <si>
    <t>Company/Issuer</t>
  </si>
  <si>
    <t>Exposure/Market Value (Rs. in Lakhs)</t>
  </si>
  <si>
    <t>% to NAV</t>
  </si>
  <si>
    <t>3. ICICI Prudential Aggressive Hybrid Fund - NAV &amp; Dividend</t>
  </si>
  <si>
    <t>Plan Name</t>
  </si>
  <si>
    <t>NAV per Unit - 31-Jul-2026</t>
  </si>
  <si>
    <t>NAV per Unit - 31-Aug-2026</t>
  </si>
  <si>
    <t>Dividend declared during the Month ended 31-Aug-2026(Rs.)/Unit</t>
  </si>
  <si>
    <t>Growth Option</t>
  </si>
  <si>
    <t>-</t>
  </si>
  <si>
    <t>Monthly IDCW Option</t>
  </si>
  <si>
    <t>Half Yearly IDCW Option</t>
  </si>
  <si>
    <t>Annual IDCW Option</t>
  </si>
  <si>
    <t>Direct Plan - Growth Option</t>
  </si>
  <si>
    <t>Direct Plan - Monthly IDCW Option</t>
  </si>
  <si>
    <t>Direct Plan - Half Yearly IDCW Option</t>
  </si>
  <si>
    <t>Direct Plan - Annual IDCW Option</t>
  </si>
  <si>
    <t>4. Total outstanding exposure in derivatives instrument</t>
  </si>
  <si>
    <t>Refer Annexure</t>
  </si>
  <si>
    <t>5. Total market value of Investment in Foreign Securities / ADRs / GDRs / Overseas ETFs as on Aug 31,2026</t>
  </si>
  <si>
    <t xml:space="preserve">6. Portfolio turnover Ratio </t>
  </si>
  <si>
    <t>1.07 times</t>
  </si>
  <si>
    <t xml:space="preserve">7. Average Maturity </t>
  </si>
  <si>
    <t>6.59 years</t>
  </si>
  <si>
    <t>8. Details of Term deposits placed as margin</t>
  </si>
  <si>
    <t>Non-Convertible debentures / Bonds &amp; Zero Coupon Bonds / Deep Discount Bonds / Certificate of Deposits / Commercial Papers are considered as Traded based on the information provided by external agencies.</t>
  </si>
  <si>
    <t>** Non Traded / Illiquid Securities.</t>
  </si>
  <si>
    <t>$$ - Derivatives.</t>
  </si>
  <si>
    <t>^ Value Less than 0.01% of NAV in absolute terms.</t>
  </si>
  <si>
    <t>For the Instrument/security whose final ISIN is yet to be assigned, disclosure of ISIN has been made as per the details provided by external agencies.</t>
  </si>
  <si>
    <t>Debt instruments having structured obligations or credit enhancement features have been denoted with suffix as (SO) or (CE) respectively against the ratings of the instrument.</t>
  </si>
  <si>
    <t>@ As per AMFI Best Practices Guidelines Circular No. 91/ 2020 - 21 dated March 24, 2021 on Valuation of AT-1 Bonds and Tier 2 Bonds, Yield to call is disclosed for AT-1 Bonds and Tier 2 Bonds issued by Banks as provided by Valuation agencies.
As per SEBI Circular SEBI/HO/IMD/PoD1/CIR/P/2024/106 dated August 05, 2024, valuation of AT-1 Bonds are done on Yield to Call basis w.e.f. August 07, 2024. YTC of AT-1 Bonds are now same as it’s YTM% and hence it is not disclosed separately under YTC%.</t>
  </si>
  <si>
    <t>For Instances of Deviation In valuation Of Securities as per SEBI master circular ref no HO/24/13/11(1)2026-IMD-POD-1/I/7602/2026 dated March 20, 2026. Refer link: https://www.icicipruamc.com/about-us/statutory-disclosures?currentTabFilter=OtherDisclosures&amp;&amp;subCatTabFilter=deviationinvaluationofsecurities</t>
  </si>
  <si>
    <t>As per AMFI Best Practices Guidelines Circular No. AMFI/ 35P/ MEM-COR/ 72 / 2022-23 dated December 31, 2022 on Standard format for disclosure Portfolio YTM for Debt Schemes, Yield of the instrument is disclosed on annualized basis as provided by Valuation agencies.</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</si>
  <si>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</si>
  <si>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Scheme Riskometer</t>
  </si>
  <si>
    <t>Benchmark Riskometer</t>
  </si>
  <si>
    <t>Benchmark name - CRISIL Hybrid 35+65 - Aggressive Index</t>
  </si>
  <si>
    <t>DERIVATIVE DISCLOSURE</t>
  </si>
  <si>
    <t>Hedging Positions through Futures as on  Aug 31, 2026</t>
  </si>
  <si>
    <t>A.  Hedging Positions through Futures as on  March 31, 2026.: Nil</t>
  </si>
  <si>
    <t>Scheme</t>
  </si>
  <si>
    <t>Underlying Security Name</t>
  </si>
  <si>
    <t>Long/(Short)</t>
  </si>
  <si>
    <t>Future price when purchased (in Rs.)</t>
  </si>
  <si>
    <t>Current price of the contract   (in Rs.)</t>
  </si>
  <si>
    <t>Margin Maintained (Rs. in Lakhs)</t>
  </si>
  <si>
    <t>BALCD</t>
  </si>
  <si>
    <t>(Short)</t>
  </si>
  <si>
    <t>Other than Hedging Positions through Futures as on  Aug 31, 2026</t>
  </si>
  <si>
    <t>B. Other than Hedging Positions through Futures as on  March 31, 2026. : Nil</t>
  </si>
  <si>
    <t>AVENUE SUPERMARTS LIMITED</t>
  </si>
  <si>
    <t>Long</t>
  </si>
  <si>
    <t>Dr. Reddys Laboratories Ltd.</t>
  </si>
  <si>
    <t>HDFC Life Insurance Company Ltd</t>
  </si>
  <si>
    <t>ICICI BANK LIMITED</t>
  </si>
  <si>
    <t>NHPC LIMTED</t>
  </si>
  <si>
    <t>PI Industries Ltd</t>
  </si>
  <si>
    <t>SBI Cards &amp; Payment Services Ltd</t>
  </si>
  <si>
    <t>SHREE CEMENT LIMITED</t>
  </si>
  <si>
    <t>Swiggy Limited</t>
  </si>
  <si>
    <t>Hedging Positions through Put Options as on Aug 31, 2026 is Nil.</t>
  </si>
  <si>
    <t>C. Hedging Positions through Options as on  March 31, 2026 . : Nil</t>
  </si>
  <si>
    <t>Positions through Covered Call Options as on Aug 31, 2026</t>
  </si>
  <si>
    <t>D. Other than Hedging Positions through Options as on  March 31, 2026 : Nil</t>
  </si>
  <si>
    <t>Number of contracts *</t>
  </si>
  <si>
    <t>% of underlying shares</t>
  </si>
  <si>
    <t>Option price when sold (in Rs. )</t>
  </si>
  <si>
    <t>Current Option Price (in Rs.)</t>
  </si>
  <si>
    <t>Margin Maintained in Rs. Lakhs</t>
  </si>
  <si>
    <t>Adani Ports and Special Economic Zone Limited</t>
  </si>
  <si>
    <t>INTERGLOBE AVIATION LTD.</t>
  </si>
  <si>
    <t>Sun Pharmaceuticals Industries Ltd.</t>
  </si>
  <si>
    <t>Oil &amp; Natural Gas Corporation Ltd</t>
  </si>
  <si>
    <t>Call options written (in terms of premium) as percentage of total maket value of equity shares held in BALCD is 0.0112%</t>
  </si>
  <si>
    <t>Other than Hedging Position through Options as on Aug 31, 2026 is Nil.</t>
  </si>
  <si>
    <t>6 a</t>
  </si>
  <si>
    <t>For the Period ended Aug 31, 2026 the following transactions through futures have been squared off/ expired:</t>
  </si>
  <si>
    <t>Hedging Transactions</t>
  </si>
  <si>
    <t>Hedging transactions Where futures were bought</t>
  </si>
  <si>
    <t>Hedging transactions Where futures were Sold</t>
  </si>
  <si>
    <t>Combined Hedged Net Profit/(Loss) 
(in Rs. in lakhs)</t>
  </si>
  <si>
    <t>Total % of existing Assets hedged through Futures</t>
  </si>
  <si>
    <t>No of Contract *</t>
  </si>
  <si>
    <t>Gross Notional Value</t>
  </si>
  <si>
    <t>Gross Notional Value 
(in Rs. in lakhs)</t>
  </si>
  <si>
    <t>* Number of contracts have been arrived using the applicable lot size as on the date of original purchase.</t>
  </si>
  <si>
    <t>6 b</t>
  </si>
  <si>
    <t>Other than hedging Transactions</t>
  </si>
  <si>
    <t>Other than Hedging transactions Where futures were bought</t>
  </si>
  <si>
    <t>Other than Hedging transactions Where futures were Sold</t>
  </si>
  <si>
    <t>Combined Unhedged Net Profit/(Loss) 
(in Rs. in lakhs)</t>
  </si>
  <si>
    <t>Total exposure due to Futures (non hedging positions) as a %  of Net Assets</t>
  </si>
  <si>
    <t xml:space="preserve">Transaction through Covered Call Options which have already been exercised/expired during the period ended Aug 31, 2026. </t>
  </si>
  <si>
    <t>Call/Put</t>
  </si>
  <si>
    <t>Strike price</t>
  </si>
  <si>
    <t>Gross Notional Value 
(in Rs. in Lakhs)</t>
  </si>
  <si>
    <t>Net Profit/(Loss)
 (in Rs.in Lakhs)</t>
  </si>
  <si>
    <t>CALL</t>
  </si>
  <si>
    <t>State Bank of India</t>
  </si>
  <si>
    <t>Tech Mahindra Ltd.</t>
  </si>
  <si>
    <t>For the period ended Aug 31, 2026 with regard to non-hedging transactions through options which have already been exercised/expired</t>
  </si>
  <si>
    <t>PUT</t>
  </si>
  <si>
    <t>NIFTY</t>
  </si>
  <si>
    <t>Transactions in Repo in Corporate Debt carried out during half year ended Aug 31, 2026 is Nil</t>
  </si>
  <si>
    <t>Hedging Positions through Interest Rate Swap (IRS) as on Aug 31, 2026.</t>
  </si>
  <si>
    <t>Long / (Short) Positions</t>
  </si>
  <si>
    <t>Underlying Security</t>
  </si>
  <si>
    <t>Notional Value (In ` Lakhs)</t>
  </si>
  <si>
    <t>Maturity Date * #</t>
  </si>
  <si>
    <t>BALCD #</t>
  </si>
  <si>
    <t>Tata Capital Ltd Sr B NCD 3MTB+210 bps - MD - 21-Feb-2029</t>
  </si>
  <si>
    <t>Muthoot Finance Ltd NCD - 3MTB + 315bps - MD - 04-Sep-2029</t>
  </si>
  <si>
    <t>BALCD *</t>
  </si>
  <si>
    <t>7.57% RAJASTHAN SDL - MD - 28-Aug-2043</t>
  </si>
  <si>
    <t>7.56% HIMACHAL PRADESH SDL - MD - 28-Aug-2040</t>
  </si>
  <si>
    <t>* For IRS with pay fix and receive float - Long position represents the floating leg of IRS contract and the maturity date is considered as next interest fixing date.</t>
  </si>
  <si>
    <t>* For IRS with pay fix and receive float - Short position represents the fixed leg of IRS contract and the maturity date is considered as the maturity date of IRS contract.</t>
  </si>
  <si>
    <t># For IRS with pay float and receive fix - Long position represents the fixed leg of IRS contract and the maturity date is considered as the maturity date of IRS contract.</t>
  </si>
  <si>
    <t># For IRS with pay float and receive fix - Short position represents the floating leg of IRS contract and the maturity date is considered as next interest fixing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</si>
</sst>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00"/>
    <numFmt numFmtId="165" formatCode="##0.0000"/>
    <numFmt numFmtId="166" formatCode="##0.00%"/>
    <numFmt numFmtId="167" formatCode="0.0000000000000%"/>
    <numFmt numFmtId="168" formatCode="\^"/>
    <numFmt numFmtId="169" formatCode="##0"/>
    <numFmt numFmtId="170" formatCode="#,##0.0"/>
  </numFmts>
  <fonts count="21">
    <font>
      <sz val="10"/>
      <color theme="1"/>
      <name val="Arial"/>
      <family val="2"/>
    </font>
    <font>
      <sz val="8.5"/>
      <name val="Verdana"/>
      <family val="2"/>
    </font>
    <font>
      <b/>
      <sz val="8.5"/>
      <name val="Verdana"/>
      <family val="2"/>
    </font>
    <font>
      <sz val="8.25"/>
      <name val="Microsoft Sans Serif"/>
      <family val="2"/>
    </font>
    <font>
      <b/>
      <u/>
      <sz val="8.5"/>
      <name val="Verdana"/>
      <family val="2"/>
    </font>
    <font>
      <b/>
      <sz val="10"/>
      <color rgb="FF000000"/>
      <name val="Franklin Gothic Book"/>
      <family val="2"/>
    </font>
    <font>
      <b/>
      <sz val="8.25"/>
      <name val="Verdana"/>
      <family val="2"/>
    </font>
    <font>
      <b/>
      <sz val="10"/>
      <name val="Verdana"/>
      <family val="2"/>
    </font>
    <font>
      <b/>
      <sz val="12"/>
      <color rgb="FFFFFFFF"/>
      <name val="Verdana"/>
      <family val="2"/>
    </font>
    <font>
      <sz val="10"/>
      <color theme="1"/>
      <name val="Arial"/>
      <family val="2"/>
    </font>
    <font>
      <b/>
      <sz val="8.25"/>
      <name val="Microsoft Sans Serif"/>
      <family val="2"/>
    </font>
    <font>
      <sz val="10"/>
      <color theme="1"/>
      <name val="Tahoma"/>
      <family val="2"/>
    </font>
    <font>
      <sz val="10"/>
      <name val="Book Antiqua"/>
      <family val="1"/>
    </font>
    <font>
      <b/>
      <sz val="10"/>
      <name val="Mulish ExtraBold"/>
    </font>
    <font>
      <sz val="10"/>
      <name val="Arial"/>
      <family val="2"/>
    </font>
    <font>
      <sz val="10"/>
      <name val="Mulish SemiBold"/>
    </font>
    <font>
      <b/>
      <sz val="10"/>
      <color theme="0"/>
      <name val="Calibri"/>
      <family val="2"/>
      <scheme val="minor"/>
    </font>
    <font>
      <sz val="10"/>
      <name val="Calibri"/>
      <family val="2"/>
      <scheme val="minor"/>
    </font>
    <font>
      <sz val="10"/>
      <color indexed="8"/>
      <name val="Mulish SemiBold"/>
    </font>
    <font>
      <sz val="10"/>
      <name val="Mulish ExtraBold"/>
    </font>
    <font>
      <sz val="10"/>
      <color theme="1"/>
      <name val="Mulish SemiBold"/>
    </font>
  </fonts>
  <fills count="6">
    <fill>
      <patternFill patternType="none"/>
    </fill>
    <fill>
      <patternFill patternType="gray125"/>
    </fill>
    <fill>
      <patternFill patternType="solid">
        <fgColor rgb="FF000080"/>
        <bgColor indexed="64"/>
      </patternFill>
    </fill>
    <fill>
      <patternFill patternType="solid">
        <fgColor rgb="FFFF0000"/>
        <bgColor indexed="64"/>
      </patternFill>
    </fill>
    <fill>
      <patternFill patternType="solid">
        <fgColor rgb="FFFFCC99"/>
        <bgColor indexed="64"/>
      </patternFill>
    </fill>
    <fill>
      <patternFill patternType="solid">
        <fgColor indexed="22"/>
        <bgColor indexed="64"/>
      </patternFill>
    </fill>
  </fills>
  <borders count="14">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top style="thin">
        <color auto="1"/>
      </top>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0">
    <xf numFmtId="0" fontId="0" fillId="0" borderId="0"/>
    <xf numFmtId="9" fontId="9" fillId="0" borderId="0" applyFont="0" applyFill="0" applyBorder="0" applyAlignment="0" applyProtection="0"/>
    <xf numFmtId="44" fontId="9" fillId="0" borderId="0" applyFont="0" applyFill="0" applyBorder="0" applyAlignment="0" applyProtection="0"/>
    <xf numFmtId="42" fontId="9" fillId="0" borderId="0" applyFont="0" applyFill="0" applyBorder="0" applyAlignment="0" applyProtection="0"/>
    <xf numFmtId="43" fontId="9" fillId="0" borderId="0" applyFont="0" applyFill="0" applyBorder="0" applyAlignment="0" applyProtection="0"/>
    <xf numFmtId="41" fontId="9" fillId="0" borderId="0" applyFont="0" applyFill="0" applyBorder="0" applyAlignment="0" applyProtection="0"/>
    <xf numFmtId="0" fontId="12" fillId="0" borderId="0"/>
    <xf numFmtId="43" fontId="12" fillId="0" borderId="0" applyFont="0" applyFill="0" applyBorder="0" applyAlignment="0" applyProtection="0"/>
    <xf numFmtId="0" fontId="14" fillId="0" borderId="0"/>
    <xf numFmtId="0" fontId="14" fillId="0" borderId="0"/>
  </cellStyleXfs>
  <cellXfs count="99">
    <xf numFmtId="0" fontId="0" fillId="0" borderId="0" xfId="0"/>
    <xf numFmtId="164" fontId="1" fillId="0" borderId="0" xfId="0" applyNumberFormat="1" applyFont="1" applyAlignment="1">
      <alignment wrapText="1"/>
    </xf>
    <xf numFmtId="0" fontId="3" fillId="0" borderId="0" xfId="0" applyFont="1" applyAlignment="1" applyProtection="1">
      <alignment vertical="top"/>
      <protection locked="0"/>
    </xf>
    <xf numFmtId="164" fontId="1" fillId="0" borderId="0" xfId="0" applyNumberFormat="1" applyFont="1"/>
    <xf numFmtId="0" fontId="7" fillId="4" borderId="0" xfId="0" applyFont="1" applyFill="1" applyAlignment="1" applyProtection="1">
      <alignment vertical="top"/>
      <protection locked="0"/>
    </xf>
    <xf numFmtId="0" fontId="8" fillId="3" borderId="0" xfId="0" applyFont="1" applyFill="1" applyAlignment="1" applyProtection="1">
      <alignment horizontal="left" vertical="center"/>
      <protection locked="0"/>
    </xf>
    <xf numFmtId="0" fontId="8" fillId="2" borderId="0" xfId="0" applyFont="1" applyFill="1" applyAlignment="1" applyProtection="1">
      <alignment horizontal="center" vertical="center"/>
      <protection locked="0"/>
    </xf>
    <xf numFmtId="0" fontId="6" fillId="0" borderId="1" xfId="0" applyFont="1" applyBorder="1" applyAlignment="1" applyProtection="1">
      <alignment horizontal="left" vertical="top"/>
      <protection locked="0"/>
    </xf>
    <xf numFmtId="0" fontId="6" fillId="0" borderId="2" xfId="0" applyFont="1" applyBorder="1" applyAlignment="1" applyProtection="1">
      <alignment horizontal="left" vertical="top"/>
      <protection locked="0"/>
    </xf>
    <xf numFmtId="2" fontId="6" fillId="0" borderId="3" xfId="0" applyNumberFormat="1" applyFont="1" applyBorder="1" applyAlignment="1" applyProtection="1">
      <alignment horizontal="left" vertical="top"/>
      <protection locked="0"/>
    </xf>
    <xf numFmtId="0" fontId="4" fillId="0" borderId="4" xfId="0" applyFont="1" applyBorder="1" applyAlignment="1">
      <alignment vertical="top"/>
    </xf>
    <xf numFmtId="0" fontId="2" fillId="0" borderId="0" xfId="0" applyFont="1"/>
    <xf numFmtId="164" fontId="2" fillId="0" borderId="0" xfId="0" applyNumberFormat="1" applyFont="1" applyAlignment="1">
      <alignment horizontal="right"/>
    </xf>
    <xf numFmtId="10" fontId="2" fillId="0" borderId="0" xfId="1" applyNumberFormat="1" applyFont="1" applyAlignment="1" applyProtection="1">
      <alignment horizontal="right"/>
    </xf>
    <xf numFmtId="164" fontId="2" fillId="0" borderId="5" xfId="0" applyNumberFormat="1" applyFont="1" applyBorder="1" applyAlignment="1">
      <alignment horizontal="right"/>
    </xf>
    <xf numFmtId="0" fontId="1" fillId="0" borderId="4" xfId="0" applyFont="1" applyBorder="1" applyAlignment="1">
      <alignment vertical="top"/>
    </xf>
    <xf numFmtId="164" fontId="1" fillId="0" borderId="6" xfId="0" applyNumberFormat="1" applyFont="1" applyBorder="1" applyAlignment="1">
      <alignment horizontal="right"/>
    </xf>
    <xf numFmtId="166" fontId="2" fillId="0" borderId="0" xfId="0" applyNumberFormat="1" applyFont="1" applyAlignment="1">
      <alignment horizontal="right"/>
    </xf>
    <xf numFmtId="164" fontId="1" fillId="0" borderId="0" xfId="0" applyNumberFormat="1" applyFont="1"/>
    <xf numFmtId="169" fontId="1" fillId="0" borderId="0" xfId="0" applyNumberFormat="1" applyFont="1" applyAlignment="1">
      <alignment horizontal="right"/>
    </xf>
    <xf numFmtId="164" fontId="1" fillId="0" borderId="0" xfId="0" applyNumberFormat="1" applyFont="1" applyAlignment="1">
      <alignment horizontal="right"/>
    </xf>
    <xf numFmtId="166" fontId="1" fillId="0" borderId="0" xfId="0" applyNumberFormat="1" applyFont="1" applyAlignment="1">
      <alignment horizontal="right"/>
    </xf>
    <xf numFmtId="168" fontId="1" fillId="0" borderId="0" xfId="0" applyNumberFormat="1" applyFont="1" applyAlignment="1">
      <alignment horizontal="right"/>
    </xf>
    <xf numFmtId="0" fontId="1" fillId="0" borderId="0" xfId="0" applyFont="1"/>
    <xf numFmtId="2" fontId="3" fillId="0" borderId="0" xfId="0" applyNumberFormat="1" applyFont="1" applyAlignment="1" applyProtection="1">
      <alignment vertical="top"/>
      <protection locked="0"/>
    </xf>
    <xf numFmtId="167" fontId="3" fillId="0" borderId="0" xfId="0" applyNumberFormat="1" applyFont="1" applyAlignment="1" applyProtection="1">
      <alignment vertical="top"/>
      <protection locked="0"/>
    </xf>
    <xf numFmtId="0" fontId="5" fillId="0" borderId="4" xfId="0" applyFont="1" applyBorder="1" applyAlignment="1" applyProtection="1">
      <alignment vertical="top"/>
      <protection locked="0"/>
    </xf>
    <xf numFmtId="0" fontId="4" fillId="0" borderId="7" xfId="0" applyFont="1" applyBorder="1" applyAlignment="1">
      <alignment vertical="top"/>
    </xf>
    <xf numFmtId="164" fontId="2" fillId="0" borderId="8" xfId="0" applyNumberFormat="1" applyFont="1" applyBorder="1"/>
    <xf numFmtId="166" fontId="2" fillId="0" borderId="8" xfId="0" applyNumberFormat="1" applyFont="1" applyBorder="1"/>
    <xf numFmtId="164" fontId="2" fillId="0" borderId="9" xfId="0" applyNumberFormat="1" applyFont="1" applyBorder="1"/>
    <xf numFmtId="164" fontId="2" fillId="0" borderId="10" xfId="0" applyNumberFormat="1" applyFont="1" applyBorder="1"/>
    <xf numFmtId="0" fontId="3" fillId="0" borderId="0" xfId="0" applyFont="1" applyAlignment="1" applyProtection="1">
      <alignment vertical="top"/>
      <protection locked="0"/>
    </xf>
    <xf numFmtId="164" fontId="2" fillId="0" borderId="0" xfId="0" applyNumberFormat="1" applyFont="1"/>
    <xf numFmtId="164" fontId="2" fillId="0" borderId="11" xfId="0" applyNumberFormat="1" applyFont="1" applyBorder="1" applyAlignment="1">
      <alignment wrapText="1"/>
    </xf>
    <xf numFmtId="164" fontId="2" fillId="0" borderId="11" xfId="0" applyNumberFormat="1" applyFont="1" applyBorder="1" applyAlignment="1">
      <alignment horizontal="right" wrapText="1"/>
    </xf>
    <xf numFmtId="165" fontId="1" fillId="0" borderId="6" xfId="0" applyNumberFormat="1" applyFont="1" applyBorder="1" applyAlignment="1">
      <alignment horizontal="right" wrapText="1"/>
    </xf>
    <xf numFmtId="165" fontId="1" fillId="0" borderId="0" xfId="0" applyNumberFormat="1" applyFont="1" applyAlignment="1">
      <alignment wrapText="1"/>
    </xf>
    <xf numFmtId="0" fontId="10" fillId="0" borderId="0" xfId="0" applyFont="1" applyAlignment="1" applyProtection="1">
      <alignment vertical="top"/>
      <protection locked="0"/>
    </xf>
    <xf numFmtId="0" fontId="11" fillId="0" borderId="0" xfId="0" applyFont="1" applyAlignment="1">
      <alignment horizontal="left" vertical="justify"/>
    </xf>
    <xf numFmtId="4" fontId="13" fillId="5" borderId="11" xfId="6" applyNumberFormat="1" applyFont="1" applyFill="1" applyBorder="1" applyAlignment="1">
      <alignment vertical="center"/>
    </xf>
    <xf numFmtId="4" fontId="13" fillId="5" borderId="11" xfId="6" applyNumberFormat="1" applyFont="1" applyFill="1" applyBorder="1" applyAlignment="1">
      <alignment horizontal="center" vertical="center" wrapText="1"/>
    </xf>
    <xf numFmtId="4" fontId="13" fillId="5" borderId="11" xfId="7" applyNumberFormat="1" applyFont="1" applyFill="1" applyBorder="1" applyAlignment="1">
      <alignment horizontal="center" vertical="center" wrapText="1"/>
    </xf>
    <xf numFmtId="0" fontId="15" fillId="0" borderId="11" xfId="8" applyFont="1" applyBorder="1"/>
    <xf numFmtId="4" fontId="15" fillId="0" borderId="11" xfId="8" applyNumberFormat="1" applyFont="1" applyBorder="1"/>
    <xf numFmtId="0" fontId="11" fillId="0" borderId="0" xfId="0" applyFont="1" applyAlignment="1">
      <alignment horizontal="left" vertical="justify"/>
    </xf>
    <xf numFmtId="0" fontId="16" fillId="0" borderId="0" xfId="8" applyFont="1"/>
    <xf numFmtId="4" fontId="15" fillId="0" borderId="11" xfId="8" applyNumberFormat="1" applyFont="1" applyBorder="1" applyAlignment="1">
      <alignment horizontal="right"/>
    </xf>
    <xf numFmtId="4" fontId="17" fillId="0" borderId="0" xfId="8" applyNumberFormat="1" applyFont="1"/>
    <xf numFmtId="0" fontId="17" fillId="0" borderId="0" xfId="8" applyFont="1"/>
    <xf numFmtId="0" fontId="15" fillId="0" borderId="0" xfId="8" applyFont="1"/>
    <xf numFmtId="4" fontId="15" fillId="0" borderId="0" xfId="8" applyNumberFormat="1" applyFont="1"/>
    <xf numFmtId="4" fontId="15" fillId="0" borderId="0" xfId="8" applyNumberFormat="1" applyFont="1" applyAlignment="1">
      <alignment horizontal="right"/>
    </xf>
    <xf numFmtId="0" fontId="13" fillId="5" borderId="11" xfId="6" applyFont="1" applyFill="1" applyBorder="1" applyAlignment="1">
      <alignment horizontal="center" vertical="center"/>
    </xf>
    <xf numFmtId="0" fontId="13" fillId="5" borderId="11" xfId="6" applyFont="1" applyFill="1" applyBorder="1" applyAlignment="1">
      <alignment horizontal="center" vertical="center" wrapText="1"/>
    </xf>
    <xf numFmtId="0" fontId="15" fillId="0" borderId="11" xfId="9" applyFont="1" applyBorder="1"/>
    <xf numFmtId="170" fontId="15" fillId="0" borderId="11" xfId="9" applyNumberFormat="1" applyFont="1" applyBorder="1"/>
    <xf numFmtId="10" fontId="15" fillId="0" borderId="11" xfId="9" applyNumberFormat="1" applyFont="1" applyBorder="1"/>
    <xf numFmtId="170" fontId="15" fillId="0" borderId="11" xfId="9" applyNumberFormat="1" applyFont="1" applyBorder="1" applyAlignment="1">
      <alignment horizontal="right" vertical="center"/>
    </xf>
    <xf numFmtId="0" fontId="15" fillId="0" borderId="0" xfId="9" applyFont="1"/>
    <xf numFmtId="3" fontId="15" fillId="0" borderId="0" xfId="9" applyNumberFormat="1" applyFont="1"/>
    <xf numFmtId="10" fontId="15" fillId="0" borderId="0" xfId="9" applyNumberFormat="1" applyFont="1"/>
    <xf numFmtId="4" fontId="15" fillId="0" borderId="0" xfId="9" applyNumberFormat="1" applyFont="1"/>
    <xf numFmtId="4" fontId="15" fillId="0" borderId="0" xfId="9" applyNumberFormat="1" applyFont="1" applyAlignment="1">
      <alignment horizontal="right" vertical="center"/>
    </xf>
    <xf numFmtId="0" fontId="18" fillId="0" borderId="0" xfId="9" applyFont="1" applyAlignment="1">
      <alignment horizontal="left" vertical="top" wrapText="1"/>
    </xf>
    <xf numFmtId="4" fontId="0" fillId="0" borderId="0" xfId="0" quotePrefix="1" applyNumberFormat="1" applyAlignment="1">
      <alignment horizontal="right"/>
    </xf>
    <xf numFmtId="0" fontId="13" fillId="0" borderId="11" xfId="8" applyFont="1" applyBorder="1" applyAlignment="1">
      <alignment vertical="center"/>
    </xf>
    <xf numFmtId="0" fontId="19" fillId="0" borderId="11" xfId="8" applyFont="1" applyBorder="1" applyAlignment="1">
      <alignment vertical="center"/>
    </xf>
    <xf numFmtId="0" fontId="19" fillId="0" borderId="1" xfId="8" applyFont="1" applyBorder="1" applyAlignment="1">
      <alignment vertical="center"/>
    </xf>
    <xf numFmtId="0" fontId="19" fillId="0" borderId="2" xfId="8" applyFont="1" applyBorder="1" applyAlignment="1">
      <alignment vertical="center"/>
    </xf>
    <xf numFmtId="2" fontId="19" fillId="0" borderId="2" xfId="8" applyNumberFormat="1" applyFont="1" applyBorder="1" applyAlignment="1">
      <alignment vertical="center"/>
    </xf>
    <xf numFmtId="0" fontId="19" fillId="0" borderId="3" xfId="8" applyFont="1" applyBorder="1" applyAlignment="1">
      <alignment vertical="center"/>
    </xf>
    <xf numFmtId="0" fontId="13" fillId="5" borderId="11" xfId="8" applyFont="1" applyFill="1" applyBorder="1" applyAlignment="1">
      <alignment horizontal="centerContinuous" vertical="center"/>
    </xf>
    <xf numFmtId="0" fontId="13" fillId="5" borderId="11" xfId="8" applyFont="1" applyFill="1" applyBorder="1" applyAlignment="1">
      <alignment horizontal="centerContinuous" vertical="center" wrapText="1"/>
    </xf>
    <xf numFmtId="0" fontId="13" fillId="5" borderId="11" xfId="8" applyFont="1" applyFill="1" applyBorder="1" applyAlignment="1">
      <alignment horizontal="center" vertical="center" wrapText="1"/>
    </xf>
    <xf numFmtId="43" fontId="20" fillId="0" borderId="11" xfId="4" applyFont="1" applyFill="1" applyBorder="1" applyProtection="1"/>
    <xf numFmtId="43" fontId="20" fillId="0" borderId="11" xfId="4" applyFont="1" applyFill="1" applyBorder="1" applyAlignment="1" applyProtection="1"/>
    <xf numFmtId="43" fontId="20" fillId="0" borderId="11" xfId="4" applyFont="1" applyFill="1" applyBorder="1" applyAlignment="1" applyProtection="1">
      <alignment horizontal="right"/>
    </xf>
    <xf numFmtId="10" fontId="15" fillId="0" borderId="11" xfId="4" applyNumberFormat="1" applyFont="1" applyFill="1" applyBorder="1" applyAlignment="1" applyProtection="1"/>
    <xf numFmtId="0" fontId="15" fillId="0" borderId="0" xfId="6" applyFont="1"/>
    <xf numFmtId="0" fontId="0" fillId="0" borderId="0" xfId="0" applyAlignment="1">
      <alignment wrapText="1"/>
    </xf>
    <xf numFmtId="43" fontId="15" fillId="0" borderId="11" xfId="4" applyFont="1" applyFill="1" applyBorder="1" applyProtection="1"/>
    <xf numFmtId="10" fontId="20" fillId="0" borderId="11" xfId="1" applyNumberFormat="1" applyFont="1" applyFill="1" applyBorder="1" applyProtection="1"/>
    <xf numFmtId="0" fontId="13" fillId="0" borderId="0" xfId="6" applyFont="1"/>
    <xf numFmtId="0" fontId="19" fillId="0" borderId="0" xfId="8" applyFont="1"/>
    <xf numFmtId="43" fontId="13" fillId="5" borderId="11" xfId="7" applyFont="1" applyFill="1" applyBorder="1" applyAlignment="1" applyProtection="1">
      <alignment horizontal="center" vertical="center" wrapText="1"/>
    </xf>
    <xf numFmtId="3" fontId="15" fillId="0" borderId="11" xfId="8" applyNumberFormat="1" applyFont="1" applyBorder="1"/>
    <xf numFmtId="3" fontId="15" fillId="0" borderId="0" xfId="8" applyNumberFormat="1" applyFont="1"/>
    <xf numFmtId="3" fontId="13" fillId="5" borderId="11" xfId="6" applyNumberFormat="1" applyFont="1" applyFill="1" applyBorder="1" applyAlignment="1">
      <alignment horizontal="center" vertical="center" wrapText="1"/>
    </xf>
    <xf numFmtId="4" fontId="13" fillId="5" borderId="11" xfId="7" applyNumberFormat="1" applyFont="1" applyFill="1" applyBorder="1" applyAlignment="1" applyProtection="1">
      <alignment horizontal="center" vertical="center" wrapText="1"/>
    </xf>
    <xf numFmtId="0" fontId="15" fillId="0" borderId="11" xfId="0" applyFont="1" applyBorder="1"/>
    <xf numFmtId="0" fontId="15" fillId="0" borderId="12" xfId="0" applyFont="1" applyBorder="1" applyAlignment="1">
      <alignment horizontal="center" wrapText="1"/>
    </xf>
    <xf numFmtId="43" fontId="15" fillId="0" borderId="11" xfId="4" applyFont="1" applyBorder="1"/>
    <xf numFmtId="15" fontId="15" fillId="0" borderId="11" xfId="0" applyNumberFormat="1" applyFont="1" applyBorder="1"/>
    <xf numFmtId="0" fontId="15" fillId="0" borderId="13" xfId="0" applyFont="1" applyBorder="1" applyAlignment="1">
      <alignment horizontal="center" wrapText="1"/>
    </xf>
    <xf numFmtId="0" fontId="15" fillId="0" borderId="0" xfId="0" applyFont="1"/>
    <xf numFmtId="0" fontId="15" fillId="0" borderId="0" xfId="0" applyFont="1" applyAlignment="1">
      <alignment horizontal="center" wrapText="1"/>
    </xf>
    <xf numFmtId="43" fontId="15" fillId="0" borderId="0" xfId="4" applyFont="1" applyBorder="1"/>
    <xf numFmtId="15" fontId="15" fillId="0" borderId="0" xfId="0" applyNumberFormat="1" applyFont="1"/>
  </cellXfs>
  <cellStyles count="10">
    <cellStyle name="Comma" xfId="4" xr:uid="{00000000-0005-0000-0000-000004000000}"/>
    <cellStyle name="Comma [0]" xfId="5" xr:uid="{00000000-0005-0000-0000-000005000000}"/>
    <cellStyle name="Comma 2" xfId="7" xr:uid="{8E80C579-134E-4863-BBBC-88C02E775F55}"/>
    <cellStyle name="Currency" xfId="2" xr:uid="{00000000-0005-0000-0000-000002000000}"/>
    <cellStyle name="Currency [0]" xfId="3" xr:uid="{00000000-0005-0000-0000-000003000000}"/>
    <cellStyle name="Normal" xfId="0" builtinId="0"/>
    <cellStyle name="Normal 2" xfId="6" xr:uid="{3858965A-BBAA-413C-8F82-4EEF9091BFF1}"/>
    <cellStyle name="Normal 4" xfId="8" xr:uid="{87C43888-34E1-4BEE-AE0D-C450F064274E}"/>
    <cellStyle name="Normal 4 3" xfId="9" xr:uid="{A10D2AF3-0764-4837-8831-45CBB7E6F2E3}"/>
    <cellStyle name="Percent"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1</xdr:col>
      <xdr:colOff>0</xdr:colOff>
      <xdr:row>374</xdr:row>
      <xdr:rowOff>0</xdr:rowOff>
    </xdr:from>
    <xdr:to>
      <xdr:col>2</xdr:col>
      <xdr:colOff>0</xdr:colOff>
      <xdr:row>384</xdr:row>
      <xdr:rowOff>0</xdr:rowOff>
    </xdr:to>
    <xdr:pic>
      <xdr:nvPicPr>
        <xdr:cNvPr id="2" name="Picture 1" descr="Picture">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666750" y="71923275"/>
          <a:ext cx="3790950" cy="1905000"/>
        </a:xfrm>
        <a:prstGeom prst="rect">
          <a:avLst/>
        </a:prstGeom>
        <a:ln w="9525" cmpd="sng">
          <a:noFill/>
        </a:ln>
      </xdr:spPr>
    </xdr:pic>
    <xdr:clientData/>
  </xdr:twoCellAnchor>
  <xdr:twoCellAnchor>
    <xdr:from>
      <xdr:col>1</xdr:col>
      <xdr:colOff>0</xdr:colOff>
      <xdr:row>389</xdr:row>
      <xdr:rowOff>0</xdr:rowOff>
    </xdr:from>
    <xdr:to>
      <xdr:col>2</xdr:col>
      <xdr:colOff>0</xdr:colOff>
      <xdr:row>399</xdr:row>
      <xdr:rowOff>0</xdr:rowOff>
    </xdr:to>
    <xdr:pic>
      <xdr:nvPicPr>
        <xdr:cNvPr id="3" name="Picture 1" descr="Picture">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666750" y="74780775"/>
          <a:ext cx="3790950" cy="1905000"/>
        </a:xfrm>
        <a:prstGeom prst="rect">
          <a:avLst/>
        </a:prstGeom>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88"/>
  <sheetViews>
    <sheetView tabSelected="1" zoomScale="80" zoomScaleNormal="80" workbookViewId="0"/>
  </sheetViews>
  <sheetFormatPr defaultColWidth="10" defaultRowHeight="15" customHeight="1"/>
  <cols>
    <col min="1" max="1" width="10" style="32" customWidth="1"/>
    <col min="2" max="2" width="56.81640625" style="32" customWidth="1"/>
    <col min="3" max="3" width="20" style="32" customWidth="1"/>
    <col min="4" max="4" width="9.453125" style="32" customWidth="1"/>
    <col min="5" max="5" width="34.81640625" style="32" customWidth="1"/>
    <col min="6" max="6" width="12.453125" style="32" bestFit="1" customWidth="1"/>
    <col min="7" max="7" width="21.7265625" style="32" customWidth="1"/>
    <col min="8" max="8" width="10.7265625" style="32" bestFit="1" customWidth="1"/>
    <col min="9" max="9" width="12.7265625" style="32" customWidth="1"/>
    <col min="10" max="10" width="16.81640625" style="32" customWidth="1"/>
    <col min="14" max="14" width="18.26953125" style="32" bestFit="1" customWidth="1"/>
  </cols>
  <sheetData>
    <row r="1" spans="2:10" ht="15" customHeight="1">
      <c r="B1" s="6" t="s">
        <v>0</v>
      </c>
      <c r="C1" s="6"/>
      <c r="D1" s="6"/>
      <c r="E1" s="6"/>
      <c r="F1" s="6"/>
      <c r="G1" s="6"/>
      <c r="H1" s="6"/>
      <c r="I1" s="6"/>
      <c r="J1" s="6"/>
    </row>
    <row r="2" spans="2:10" ht="15" customHeight="1">
      <c r="B2" s="5" t="s">
        <v>1</v>
      </c>
      <c r="C2" s="5"/>
      <c r="D2" s="5"/>
      <c r="E2" s="5"/>
      <c r="F2" s="5"/>
      <c r="G2" s="5"/>
      <c r="H2" s="5"/>
      <c r="I2" s="5"/>
      <c r="J2" s="5"/>
    </row>
    <row r="3" spans="2:10" ht="15" customHeight="1">
      <c r="B3" s="4" t="s">
        <v>2</v>
      </c>
      <c r="C3" s="4"/>
      <c r="D3" s="4"/>
      <c r="E3" s="4"/>
      <c r="F3" s="4"/>
      <c r="G3" s="4"/>
      <c r="H3" s="4"/>
      <c r="I3" s="4"/>
      <c r="J3" s="4"/>
    </row>
    <row r="4" spans="2:10" ht="15" customHeight="1">
      <c r="B4" s="7" t="s">
        <v>3</v>
      </c>
      <c r="C4" s="8" t="s">
        <v>4</v>
      </c>
      <c r="D4" s="8" t="s">
        <v>5</v>
      </c>
      <c r="E4" s="8" t="s">
        <v>6</v>
      </c>
      <c r="F4" s="8" t="s">
        <v>7</v>
      </c>
      <c r="G4" s="8" t="s">
        <v>8</v>
      </c>
      <c r="H4" s="8" t="s">
        <v>9</v>
      </c>
      <c r="I4" s="9" t="s">
        <v>10</v>
      </c>
      <c r="J4" s="9" t="s">
        <v>11</v>
      </c>
    </row>
    <row r="5" spans="2:10" ht="15" customHeight="1">
      <c r="B5" s="10" t="s">
        <v>12</v>
      </c>
      <c r="C5" s="11" t="s">
        <v>13</v>
      </c>
      <c r="D5" s="12" t="s">
        <v>13</v>
      </c>
      <c r="E5" s="11" t="s">
        <v>13</v>
      </c>
      <c r="F5" s="12" t="s">
        <v>13</v>
      </c>
      <c r="G5" s="12">
        <f>SUM(G7+G137,G143)</f>
        <v>3983033.9300000016</v>
      </c>
      <c r="H5" s="13">
        <f>SUM(H7+H137,H143)</f>
        <v>0.75933548026380004</v>
      </c>
      <c r="I5" s="12"/>
      <c r="J5" s="14"/>
    </row>
    <row r="6" spans="2:10" ht="15" customHeight="1">
      <c r="B6" s="15" t="s">
        <v>13</v>
      </c>
      <c r="J6" s="16" t="s">
        <v>13</v>
      </c>
    </row>
    <row r="7" spans="2:10" ht="15" customHeight="1">
      <c r="B7" s="10" t="s">
        <v>14</v>
      </c>
      <c r="C7" s="11" t="s">
        <v>13</v>
      </c>
      <c r="D7" s="12" t="s">
        <v>13</v>
      </c>
      <c r="E7" s="11" t="s">
        <v>13</v>
      </c>
      <c r="F7" s="12" t="s">
        <v>13</v>
      </c>
      <c r="G7" s="12">
        <v>3852387.1300000013</v>
      </c>
      <c r="H7" s="17">
        <v>0.73442864985110001</v>
      </c>
      <c r="I7" s="12" t="s">
        <v>13</v>
      </c>
      <c r="J7" s="16" t="s">
        <v>13</v>
      </c>
    </row>
    <row r="8" spans="2:10" ht="15" customHeight="1">
      <c r="B8" s="15" t="s">
        <v>15</v>
      </c>
      <c r="C8" s="18" t="s">
        <v>16</v>
      </c>
      <c r="D8" s="18" t="s">
        <v>13</v>
      </c>
      <c r="E8" s="18" t="s">
        <v>17</v>
      </c>
      <c r="F8" s="19">
        <v>44807166</v>
      </c>
      <c r="G8" s="20">
        <v>317682.81</v>
      </c>
      <c r="H8" s="21">
        <v>6.0563839862799999E-2</v>
      </c>
      <c r="I8" s="20" t="s">
        <v>13</v>
      </c>
      <c r="J8" s="16" t="s">
        <v>13</v>
      </c>
    </row>
    <row r="9" spans="2:10" ht="15" customHeight="1">
      <c r="B9" s="15" t="s">
        <v>18</v>
      </c>
      <c r="C9" s="18" t="s">
        <v>19</v>
      </c>
      <c r="D9" s="18" t="s">
        <v>13</v>
      </c>
      <c r="E9" s="18" t="s">
        <v>17</v>
      </c>
      <c r="F9" s="19">
        <v>18783840</v>
      </c>
      <c r="G9" s="20">
        <v>273117.03000000003</v>
      </c>
      <c r="H9" s="21">
        <v>5.2067708884600002E-2</v>
      </c>
      <c r="I9" s="20" t="s">
        <v>13</v>
      </c>
      <c r="J9" s="16" t="s">
        <v>13</v>
      </c>
    </row>
    <row r="10" spans="2:10" ht="15" customHeight="1">
      <c r="B10" s="15" t="s">
        <v>20</v>
      </c>
      <c r="C10" s="18" t="s">
        <v>21</v>
      </c>
      <c r="D10" s="18" t="s">
        <v>13</v>
      </c>
      <c r="E10" s="18" t="s">
        <v>22</v>
      </c>
      <c r="F10" s="19">
        <v>18689980</v>
      </c>
      <c r="G10" s="20">
        <v>238671.04</v>
      </c>
      <c r="H10" s="21">
        <v>4.5500839804500003E-2</v>
      </c>
      <c r="I10" s="20" t="s">
        <v>13</v>
      </c>
      <c r="J10" s="16" t="s">
        <v>13</v>
      </c>
    </row>
    <row r="11" spans="2:10" ht="15" customHeight="1">
      <c r="B11" s="15" t="s">
        <v>23</v>
      </c>
      <c r="C11" s="18" t="s">
        <v>24</v>
      </c>
      <c r="D11" s="18" t="s">
        <v>13</v>
      </c>
      <c r="E11" s="18" t="s">
        <v>25</v>
      </c>
      <c r="F11" s="19">
        <v>9853039</v>
      </c>
      <c r="G11" s="20">
        <v>195563.12</v>
      </c>
      <c r="H11" s="21">
        <v>3.7282638877300003E-2</v>
      </c>
      <c r="I11" s="20" t="s">
        <v>13</v>
      </c>
      <c r="J11" s="16" t="s">
        <v>13</v>
      </c>
    </row>
    <row r="12" spans="2:10" ht="15" customHeight="1">
      <c r="B12" s="15" t="s">
        <v>26</v>
      </c>
      <c r="C12" s="18" t="s">
        <v>27</v>
      </c>
      <c r="D12" s="18" t="s">
        <v>13</v>
      </c>
      <c r="E12" s="18" t="s">
        <v>28</v>
      </c>
      <c r="F12" s="19">
        <v>3981427</v>
      </c>
      <c r="G12" s="20">
        <v>172845.69</v>
      </c>
      <c r="H12" s="21">
        <v>3.2951731603400002E-2</v>
      </c>
      <c r="I12" s="20" t="s">
        <v>13</v>
      </c>
      <c r="J12" s="16" t="s">
        <v>13</v>
      </c>
    </row>
    <row r="13" spans="2:10" ht="15" customHeight="1">
      <c r="B13" s="15" t="s">
        <v>29</v>
      </c>
      <c r="C13" s="18" t="s">
        <v>30</v>
      </c>
      <c r="D13" s="18" t="s">
        <v>13</v>
      </c>
      <c r="E13" s="18" t="s">
        <v>31</v>
      </c>
      <c r="F13" s="19">
        <v>51962814</v>
      </c>
      <c r="G13" s="20">
        <v>170126.25</v>
      </c>
      <c r="H13" s="21">
        <v>3.2433290807999997E-2</v>
      </c>
      <c r="I13" s="20" t="s">
        <v>13</v>
      </c>
      <c r="J13" s="16" t="s">
        <v>13</v>
      </c>
    </row>
    <row r="14" spans="2:10" ht="15" customHeight="1">
      <c r="B14" s="15" t="s">
        <v>32</v>
      </c>
      <c r="C14" s="18" t="s">
        <v>33</v>
      </c>
      <c r="D14" s="18" t="s">
        <v>13</v>
      </c>
      <c r="E14" s="18" t="s">
        <v>34</v>
      </c>
      <c r="F14" s="19">
        <v>37007543</v>
      </c>
      <c r="G14" s="20">
        <v>154691.53</v>
      </c>
      <c r="H14" s="21">
        <v>2.9490777455199998E-2</v>
      </c>
      <c r="I14" s="20" t="s">
        <v>13</v>
      </c>
      <c r="J14" s="16" t="s">
        <v>13</v>
      </c>
    </row>
    <row r="15" spans="2:10" ht="15" customHeight="1">
      <c r="B15" s="15" t="s">
        <v>35</v>
      </c>
      <c r="C15" s="18" t="s">
        <v>36</v>
      </c>
      <c r="D15" s="18" t="s">
        <v>13</v>
      </c>
      <c r="E15" s="18" t="s">
        <v>37</v>
      </c>
      <c r="F15" s="19">
        <v>3525882</v>
      </c>
      <c r="G15" s="20">
        <v>137509.4</v>
      </c>
      <c r="H15" s="21">
        <v>2.6215133520199999E-2</v>
      </c>
      <c r="I15" s="20" t="s">
        <v>13</v>
      </c>
      <c r="J15" s="16" t="s">
        <v>13</v>
      </c>
    </row>
    <row r="16" spans="2:10" ht="15" customHeight="1">
      <c r="B16" s="15" t="s">
        <v>38</v>
      </c>
      <c r="C16" s="18" t="s">
        <v>39</v>
      </c>
      <c r="D16" s="18" t="s">
        <v>13</v>
      </c>
      <c r="E16" s="18" t="s">
        <v>17</v>
      </c>
      <c r="F16" s="19">
        <v>10531926</v>
      </c>
      <c r="G16" s="20">
        <v>136915.04</v>
      </c>
      <c r="H16" s="21">
        <v>2.6101823253700002E-2</v>
      </c>
      <c r="I16" s="20" t="s">
        <v>13</v>
      </c>
      <c r="J16" s="16" t="s">
        <v>13</v>
      </c>
    </row>
    <row r="17" spans="2:10" ht="15" customHeight="1">
      <c r="B17" s="15" t="s">
        <v>40</v>
      </c>
      <c r="C17" s="18" t="s">
        <v>41</v>
      </c>
      <c r="D17" s="18" t="s">
        <v>13</v>
      </c>
      <c r="E17" s="18" t="s">
        <v>42</v>
      </c>
      <c r="F17" s="19">
        <v>2475671</v>
      </c>
      <c r="G17" s="20">
        <v>129576.62</v>
      </c>
      <c r="H17" s="21">
        <v>2.4702808639900001E-2</v>
      </c>
      <c r="I17" s="20" t="s">
        <v>13</v>
      </c>
      <c r="J17" s="16" t="s">
        <v>13</v>
      </c>
    </row>
    <row r="18" spans="2:10" ht="15" customHeight="1">
      <c r="B18" s="15" t="s">
        <v>43</v>
      </c>
      <c r="C18" s="18" t="s">
        <v>44</v>
      </c>
      <c r="D18" s="18" t="s">
        <v>13</v>
      </c>
      <c r="E18" s="18" t="s">
        <v>45</v>
      </c>
      <c r="F18" s="19">
        <v>4408168</v>
      </c>
      <c r="G18" s="20">
        <v>86726.3</v>
      </c>
      <c r="H18" s="21">
        <v>1.6533717216499998E-2</v>
      </c>
      <c r="I18" s="20" t="s">
        <v>13</v>
      </c>
      <c r="J18" s="16" t="s">
        <v>13</v>
      </c>
    </row>
    <row r="19" spans="2:10" ht="15" customHeight="1">
      <c r="B19" s="15" t="s">
        <v>46</v>
      </c>
      <c r="C19" s="18" t="s">
        <v>47</v>
      </c>
      <c r="D19" s="18" t="s">
        <v>13</v>
      </c>
      <c r="E19" s="18" t="s">
        <v>48</v>
      </c>
      <c r="F19" s="19">
        <v>4535783</v>
      </c>
      <c r="G19" s="20">
        <v>82183.850000000006</v>
      </c>
      <c r="H19" s="21">
        <v>1.5667733267300001E-2</v>
      </c>
      <c r="I19" s="20" t="s">
        <v>13</v>
      </c>
      <c r="J19" s="16" t="s">
        <v>13</v>
      </c>
    </row>
    <row r="20" spans="2:10" ht="15" customHeight="1">
      <c r="B20" s="15" t="s">
        <v>49</v>
      </c>
      <c r="C20" s="18" t="s">
        <v>50</v>
      </c>
      <c r="D20" s="18" t="s">
        <v>13</v>
      </c>
      <c r="E20" s="18" t="s">
        <v>37</v>
      </c>
      <c r="F20" s="19">
        <v>22177572</v>
      </c>
      <c r="G20" s="20">
        <v>72764.61</v>
      </c>
      <c r="H20" s="21">
        <v>1.38720259611E-2</v>
      </c>
      <c r="I20" s="20" t="s">
        <v>13</v>
      </c>
      <c r="J20" s="16" t="s">
        <v>13</v>
      </c>
    </row>
    <row r="21" spans="2:10" ht="15" customHeight="1">
      <c r="B21" s="15" t="s">
        <v>51</v>
      </c>
      <c r="C21" s="18" t="s">
        <v>52</v>
      </c>
      <c r="D21" s="18" t="s">
        <v>13</v>
      </c>
      <c r="E21" s="18" t="s">
        <v>53</v>
      </c>
      <c r="F21" s="19">
        <v>2975635</v>
      </c>
      <c r="G21" s="20">
        <v>71394.41</v>
      </c>
      <c r="H21" s="21">
        <v>1.3610807630200001E-2</v>
      </c>
      <c r="I21" s="20" t="s">
        <v>13</v>
      </c>
      <c r="J21" s="16" t="s">
        <v>13</v>
      </c>
    </row>
    <row r="22" spans="2:10" ht="15" customHeight="1">
      <c r="B22" s="15" t="s">
        <v>54</v>
      </c>
      <c r="C22" s="18" t="s">
        <v>55</v>
      </c>
      <c r="D22" s="18" t="s">
        <v>13</v>
      </c>
      <c r="E22" s="18" t="s">
        <v>56</v>
      </c>
      <c r="F22" s="19">
        <v>1612993</v>
      </c>
      <c r="G22" s="20">
        <v>65243.95</v>
      </c>
      <c r="H22" s="21">
        <v>1.24382686611E-2</v>
      </c>
      <c r="I22" s="20" t="s">
        <v>13</v>
      </c>
      <c r="J22" s="16" t="s">
        <v>13</v>
      </c>
    </row>
    <row r="23" spans="2:10" ht="15" customHeight="1">
      <c r="B23" s="15" t="s">
        <v>57</v>
      </c>
      <c r="C23" s="18" t="s">
        <v>58</v>
      </c>
      <c r="D23" s="18" t="s">
        <v>13</v>
      </c>
      <c r="E23" s="18" t="s">
        <v>34</v>
      </c>
      <c r="F23" s="19">
        <v>3549572</v>
      </c>
      <c r="G23" s="20">
        <v>61780.3</v>
      </c>
      <c r="H23" s="21">
        <v>1.1777949823200001E-2</v>
      </c>
      <c r="I23" s="20" t="s">
        <v>13</v>
      </c>
      <c r="J23" s="16" t="s">
        <v>13</v>
      </c>
    </row>
    <row r="24" spans="2:10" ht="15" customHeight="1">
      <c r="B24" s="15" t="s">
        <v>59</v>
      </c>
      <c r="C24" s="18" t="s">
        <v>60</v>
      </c>
      <c r="D24" s="18" t="s">
        <v>13</v>
      </c>
      <c r="E24" s="18" t="s">
        <v>28</v>
      </c>
      <c r="F24" s="19">
        <v>431565</v>
      </c>
      <c r="G24" s="20">
        <v>58464.11</v>
      </c>
      <c r="H24" s="21">
        <v>1.11457431258E-2</v>
      </c>
      <c r="I24" s="20" t="s">
        <v>13</v>
      </c>
      <c r="J24" s="16" t="s">
        <v>13</v>
      </c>
    </row>
    <row r="25" spans="2:10" ht="15" customHeight="1">
      <c r="B25" s="15" t="s">
        <v>61</v>
      </c>
      <c r="C25" s="18" t="s">
        <v>62</v>
      </c>
      <c r="D25" s="18" t="s">
        <v>13</v>
      </c>
      <c r="E25" s="18" t="s">
        <v>45</v>
      </c>
      <c r="F25" s="19">
        <v>19457976</v>
      </c>
      <c r="G25" s="20">
        <v>49715.13</v>
      </c>
      <c r="H25" s="21">
        <v>9.4778158505000008E-3</v>
      </c>
      <c r="I25" s="20" t="s">
        <v>13</v>
      </c>
      <c r="J25" s="16" t="s">
        <v>13</v>
      </c>
    </row>
    <row r="26" spans="2:10" ht="15" customHeight="1">
      <c r="B26" s="15" t="s">
        <v>63</v>
      </c>
      <c r="C26" s="18" t="s">
        <v>64</v>
      </c>
      <c r="D26" s="18" t="s">
        <v>13</v>
      </c>
      <c r="E26" s="18" t="s">
        <v>17</v>
      </c>
      <c r="F26" s="19">
        <v>4686647</v>
      </c>
      <c r="G26" s="20">
        <v>49678.46</v>
      </c>
      <c r="H26" s="21">
        <v>9.4708249907000004E-3</v>
      </c>
      <c r="I26" s="20" t="s">
        <v>13</v>
      </c>
      <c r="J26" s="16" t="s">
        <v>13</v>
      </c>
    </row>
    <row r="27" spans="2:10" ht="15" customHeight="1">
      <c r="B27" s="15" t="s">
        <v>65</v>
      </c>
      <c r="C27" s="18" t="s">
        <v>66</v>
      </c>
      <c r="D27" s="18" t="s">
        <v>13</v>
      </c>
      <c r="E27" s="18" t="s">
        <v>17</v>
      </c>
      <c r="F27" s="19">
        <v>11176888</v>
      </c>
      <c r="G27" s="20">
        <v>46875.87</v>
      </c>
      <c r="H27" s="21">
        <v>8.9365322729E-3</v>
      </c>
      <c r="I27" s="20" t="s">
        <v>13</v>
      </c>
      <c r="J27" s="16" t="s">
        <v>13</v>
      </c>
    </row>
    <row r="28" spans="2:10" ht="15" customHeight="1">
      <c r="B28" s="15" t="s">
        <v>67</v>
      </c>
      <c r="C28" s="18" t="s">
        <v>68</v>
      </c>
      <c r="D28" s="18" t="s">
        <v>13</v>
      </c>
      <c r="E28" s="18" t="s">
        <v>69</v>
      </c>
      <c r="F28" s="19">
        <v>358783</v>
      </c>
      <c r="G28" s="20">
        <v>41080.65</v>
      </c>
      <c r="H28" s="21">
        <v>7.8317171396000002E-3</v>
      </c>
      <c r="I28" s="20" t="s">
        <v>13</v>
      </c>
      <c r="J28" s="16" t="s">
        <v>13</v>
      </c>
    </row>
    <row r="29" spans="2:10" ht="15" customHeight="1">
      <c r="B29" s="15" t="s">
        <v>70</v>
      </c>
      <c r="C29" s="18" t="s">
        <v>71</v>
      </c>
      <c r="D29" s="18" t="s">
        <v>13</v>
      </c>
      <c r="E29" s="18" t="s">
        <v>56</v>
      </c>
      <c r="F29" s="19">
        <v>2904244</v>
      </c>
      <c r="G29" s="20">
        <v>40685.550000000003</v>
      </c>
      <c r="H29" s="21">
        <v>7.7563942943999998E-3</v>
      </c>
      <c r="I29" s="20" t="s">
        <v>13</v>
      </c>
      <c r="J29" s="16" t="s">
        <v>13</v>
      </c>
    </row>
    <row r="30" spans="2:10" ht="15" customHeight="1">
      <c r="B30" s="15" t="s">
        <v>72</v>
      </c>
      <c r="C30" s="18" t="s">
        <v>73</v>
      </c>
      <c r="D30" s="18" t="s">
        <v>13</v>
      </c>
      <c r="E30" s="18" t="s">
        <v>74</v>
      </c>
      <c r="F30" s="19">
        <v>21031226</v>
      </c>
      <c r="G30" s="20">
        <v>38771.07</v>
      </c>
      <c r="H30" s="21">
        <v>7.3914130726000001E-3</v>
      </c>
      <c r="I30" s="20" t="s">
        <v>13</v>
      </c>
      <c r="J30" s="16" t="s">
        <v>13</v>
      </c>
    </row>
    <row r="31" spans="2:10" ht="15" customHeight="1">
      <c r="B31" s="15" t="s">
        <v>75</v>
      </c>
      <c r="C31" s="18" t="s">
        <v>76</v>
      </c>
      <c r="D31" s="18" t="s">
        <v>13</v>
      </c>
      <c r="E31" s="18" t="s">
        <v>77</v>
      </c>
      <c r="F31" s="19">
        <v>756175</v>
      </c>
      <c r="G31" s="20">
        <v>38602.730000000003</v>
      </c>
      <c r="H31" s="21">
        <v>7.3593203169000001E-3</v>
      </c>
      <c r="I31" s="20" t="s">
        <v>13</v>
      </c>
      <c r="J31" s="16" t="s">
        <v>13</v>
      </c>
    </row>
    <row r="32" spans="2:10" ht="15" customHeight="1">
      <c r="B32" s="15" t="s">
        <v>78</v>
      </c>
      <c r="C32" s="18" t="s">
        <v>79</v>
      </c>
      <c r="D32" s="18" t="s">
        <v>13</v>
      </c>
      <c r="E32" s="18" t="s">
        <v>34</v>
      </c>
      <c r="F32" s="19">
        <v>10862162</v>
      </c>
      <c r="G32" s="20">
        <v>38533.519999999997</v>
      </c>
      <c r="H32" s="21">
        <v>7.3461259506E-3</v>
      </c>
      <c r="I32" s="20" t="s">
        <v>13</v>
      </c>
      <c r="J32" s="16" t="s">
        <v>13</v>
      </c>
    </row>
    <row r="33" spans="2:10" ht="15" customHeight="1">
      <c r="B33" s="15" t="s">
        <v>80</v>
      </c>
      <c r="C33" s="18" t="s">
        <v>81</v>
      </c>
      <c r="D33" s="18" t="s">
        <v>13</v>
      </c>
      <c r="E33" s="18" t="s">
        <v>82</v>
      </c>
      <c r="F33" s="19">
        <v>21783727</v>
      </c>
      <c r="G33" s="20">
        <v>37180.47</v>
      </c>
      <c r="H33" s="21">
        <v>7.0881771384E-3</v>
      </c>
      <c r="I33" s="20" t="s">
        <v>13</v>
      </c>
      <c r="J33" s="16" t="s">
        <v>13</v>
      </c>
    </row>
    <row r="34" spans="2:10" ht="15" customHeight="1">
      <c r="B34" s="15" t="s">
        <v>83</v>
      </c>
      <c r="C34" s="18" t="s">
        <v>84</v>
      </c>
      <c r="D34" s="18" t="s">
        <v>13</v>
      </c>
      <c r="E34" s="18" t="s">
        <v>85</v>
      </c>
      <c r="F34" s="19">
        <v>15739066</v>
      </c>
      <c r="G34" s="20">
        <v>36483.15</v>
      </c>
      <c r="H34" s="21">
        <v>6.9552383217999997E-3</v>
      </c>
      <c r="I34" s="20" t="s">
        <v>13</v>
      </c>
      <c r="J34" s="16" t="s">
        <v>13</v>
      </c>
    </row>
    <row r="35" spans="2:10" ht="15" customHeight="1">
      <c r="B35" s="15" t="s">
        <v>86</v>
      </c>
      <c r="C35" s="18" t="s">
        <v>87</v>
      </c>
      <c r="D35" s="18" t="s">
        <v>13</v>
      </c>
      <c r="E35" s="18" t="s">
        <v>17</v>
      </c>
      <c r="F35" s="19">
        <v>3554402</v>
      </c>
      <c r="G35" s="20">
        <v>36134.050000000003</v>
      </c>
      <c r="H35" s="21">
        <v>6.8886850308E-3</v>
      </c>
      <c r="I35" s="20" t="s">
        <v>13</v>
      </c>
      <c r="J35" s="16" t="s">
        <v>13</v>
      </c>
    </row>
    <row r="36" spans="2:10" ht="15" customHeight="1">
      <c r="B36" s="15" t="s">
        <v>88</v>
      </c>
      <c r="C36" s="18" t="s">
        <v>89</v>
      </c>
      <c r="D36" s="18" t="s">
        <v>13</v>
      </c>
      <c r="E36" s="18" t="s">
        <v>69</v>
      </c>
      <c r="F36" s="19">
        <v>8512554</v>
      </c>
      <c r="G36" s="20">
        <v>34148.11</v>
      </c>
      <c r="H36" s="21">
        <v>6.5100804970999997E-3</v>
      </c>
      <c r="I36" s="20" t="s">
        <v>13</v>
      </c>
      <c r="J36" s="16" t="s">
        <v>13</v>
      </c>
    </row>
    <row r="37" spans="2:10" ht="15" customHeight="1">
      <c r="B37" s="15" t="s">
        <v>90</v>
      </c>
      <c r="C37" s="18" t="s">
        <v>91</v>
      </c>
      <c r="D37" s="18" t="s">
        <v>13</v>
      </c>
      <c r="E37" s="18" t="s">
        <v>92</v>
      </c>
      <c r="F37" s="19">
        <v>425686</v>
      </c>
      <c r="G37" s="20">
        <v>32516.03</v>
      </c>
      <c r="H37" s="21">
        <v>6.1989367126000002E-3</v>
      </c>
      <c r="I37" s="20" t="s">
        <v>13</v>
      </c>
      <c r="J37" s="16" t="s">
        <v>13</v>
      </c>
    </row>
    <row r="38" spans="2:10" ht="15" customHeight="1">
      <c r="B38" s="15" t="s">
        <v>93</v>
      </c>
      <c r="C38" s="18" t="s">
        <v>94</v>
      </c>
      <c r="D38" s="18" t="s">
        <v>13</v>
      </c>
      <c r="E38" s="18" t="s">
        <v>95</v>
      </c>
      <c r="F38" s="19">
        <v>3455363</v>
      </c>
      <c r="G38" s="20">
        <v>31234.75</v>
      </c>
      <c r="H38" s="21">
        <v>5.9546703114E-3</v>
      </c>
      <c r="I38" s="20" t="s">
        <v>13</v>
      </c>
      <c r="J38" s="16" t="s">
        <v>13</v>
      </c>
    </row>
    <row r="39" spans="2:10" ht="15" customHeight="1">
      <c r="B39" s="15" t="s">
        <v>96</v>
      </c>
      <c r="C39" s="18" t="s">
        <v>97</v>
      </c>
      <c r="D39" s="18" t="s">
        <v>13</v>
      </c>
      <c r="E39" s="18" t="s">
        <v>85</v>
      </c>
      <c r="F39" s="19">
        <v>6435745</v>
      </c>
      <c r="G39" s="20">
        <v>31094.3</v>
      </c>
      <c r="H39" s="21">
        <v>5.9278945745999999E-3</v>
      </c>
      <c r="I39" s="20" t="s">
        <v>13</v>
      </c>
      <c r="J39" s="16" t="s">
        <v>13</v>
      </c>
    </row>
    <row r="40" spans="2:10" ht="15" customHeight="1">
      <c r="B40" s="15" t="s">
        <v>98</v>
      </c>
      <c r="C40" s="18" t="s">
        <v>99</v>
      </c>
      <c r="D40" s="18" t="s">
        <v>13</v>
      </c>
      <c r="E40" s="18" t="s">
        <v>100</v>
      </c>
      <c r="F40" s="19">
        <v>588117</v>
      </c>
      <c r="G40" s="20">
        <v>30876.14</v>
      </c>
      <c r="H40" s="21">
        <v>5.8863040103999996E-3</v>
      </c>
      <c r="I40" s="20" t="s">
        <v>13</v>
      </c>
      <c r="J40" s="16" t="s">
        <v>13</v>
      </c>
    </row>
    <row r="41" spans="2:10" ht="15" customHeight="1">
      <c r="B41" s="15" t="s">
        <v>101</v>
      </c>
      <c r="C41" s="18" t="s">
        <v>102</v>
      </c>
      <c r="D41" s="18" t="s">
        <v>13</v>
      </c>
      <c r="E41" s="18" t="s">
        <v>37</v>
      </c>
      <c r="F41" s="19">
        <v>2280371</v>
      </c>
      <c r="G41" s="20">
        <v>29941.27</v>
      </c>
      <c r="H41" s="21">
        <v>5.7080780718000001E-3</v>
      </c>
      <c r="I41" s="20" t="s">
        <v>13</v>
      </c>
      <c r="J41" s="16" t="s">
        <v>13</v>
      </c>
    </row>
    <row r="42" spans="2:10" ht="15" customHeight="1">
      <c r="B42" s="15" t="s">
        <v>103</v>
      </c>
      <c r="C42" s="18" t="s">
        <v>104</v>
      </c>
      <c r="D42" s="18" t="s">
        <v>13</v>
      </c>
      <c r="E42" s="18" t="s">
        <v>22</v>
      </c>
      <c r="F42" s="19">
        <v>21351422</v>
      </c>
      <c r="G42" s="20">
        <v>29706.23</v>
      </c>
      <c r="H42" s="21">
        <v>5.6632694625000004E-3</v>
      </c>
      <c r="I42" s="20" t="s">
        <v>13</v>
      </c>
      <c r="J42" s="16" t="s">
        <v>13</v>
      </c>
    </row>
    <row r="43" spans="2:10" ht="15" customHeight="1">
      <c r="B43" s="15" t="s">
        <v>105</v>
      </c>
      <c r="C43" s="18" t="s">
        <v>106</v>
      </c>
      <c r="D43" s="18" t="s">
        <v>13</v>
      </c>
      <c r="E43" s="18" t="s">
        <v>25</v>
      </c>
      <c r="F43" s="19">
        <v>2194049</v>
      </c>
      <c r="G43" s="20">
        <v>25328.1</v>
      </c>
      <c r="H43" s="21">
        <v>4.8286118861999997E-3</v>
      </c>
      <c r="I43" s="20" t="s">
        <v>13</v>
      </c>
      <c r="J43" s="16" t="s">
        <v>13</v>
      </c>
    </row>
    <row r="44" spans="2:10" ht="15" customHeight="1">
      <c r="B44" s="15" t="s">
        <v>107</v>
      </c>
      <c r="C44" s="18" t="s">
        <v>108</v>
      </c>
      <c r="D44" s="18" t="s">
        <v>13</v>
      </c>
      <c r="E44" s="18" t="s">
        <v>109</v>
      </c>
      <c r="F44" s="19">
        <v>4859999</v>
      </c>
      <c r="G44" s="20">
        <v>24941.51</v>
      </c>
      <c r="H44" s="21">
        <v>4.7549114085E-3</v>
      </c>
      <c r="I44" s="20" t="s">
        <v>13</v>
      </c>
      <c r="J44" s="16" t="s">
        <v>13</v>
      </c>
    </row>
    <row r="45" spans="2:10" ht="15" customHeight="1">
      <c r="B45" s="15" t="s">
        <v>110</v>
      </c>
      <c r="C45" s="18" t="s">
        <v>111</v>
      </c>
      <c r="D45" s="18" t="s">
        <v>13</v>
      </c>
      <c r="E45" s="18" t="s">
        <v>28</v>
      </c>
      <c r="F45" s="19">
        <v>1048792</v>
      </c>
      <c r="G45" s="20">
        <v>23125.86</v>
      </c>
      <c r="H45" s="21">
        <v>4.4087713833999998E-3</v>
      </c>
      <c r="I45" s="20" t="s">
        <v>13</v>
      </c>
      <c r="J45" s="16" t="s">
        <v>13</v>
      </c>
    </row>
    <row r="46" spans="2:10" ht="15" customHeight="1">
      <c r="B46" s="15" t="s">
        <v>112</v>
      </c>
      <c r="C46" s="18" t="s">
        <v>113</v>
      </c>
      <c r="D46" s="18" t="s">
        <v>13</v>
      </c>
      <c r="E46" s="18" t="s">
        <v>95</v>
      </c>
      <c r="F46" s="19">
        <v>3745998</v>
      </c>
      <c r="G46" s="20">
        <v>21367.17</v>
      </c>
      <c r="H46" s="21">
        <v>4.0734903541000001E-3</v>
      </c>
      <c r="I46" s="20" t="s">
        <v>13</v>
      </c>
      <c r="J46" s="16" t="s">
        <v>13</v>
      </c>
    </row>
    <row r="47" spans="2:10" ht="15" customHeight="1">
      <c r="B47" s="15" t="s">
        <v>114</v>
      </c>
      <c r="C47" s="18" t="s">
        <v>115</v>
      </c>
      <c r="D47" s="18" t="s">
        <v>13</v>
      </c>
      <c r="E47" s="18" t="s">
        <v>116</v>
      </c>
      <c r="F47" s="19">
        <v>4440543</v>
      </c>
      <c r="G47" s="20">
        <v>20919.400000000001</v>
      </c>
      <c r="H47" s="21">
        <v>3.9881263692000003E-3</v>
      </c>
      <c r="I47" s="20" t="s">
        <v>13</v>
      </c>
      <c r="J47" s="16" t="s">
        <v>13</v>
      </c>
    </row>
    <row r="48" spans="2:10" ht="15" customHeight="1">
      <c r="B48" s="15" t="s">
        <v>117</v>
      </c>
      <c r="C48" s="18" t="s">
        <v>118</v>
      </c>
      <c r="D48" s="18" t="s">
        <v>13</v>
      </c>
      <c r="E48" s="18" t="s">
        <v>119</v>
      </c>
      <c r="F48" s="19">
        <v>17982078</v>
      </c>
      <c r="G48" s="20">
        <v>20913.16</v>
      </c>
      <c r="H48" s="21">
        <v>3.9869367601000003E-3</v>
      </c>
      <c r="I48" s="20" t="s">
        <v>13</v>
      </c>
      <c r="J48" s="16" t="s">
        <v>13</v>
      </c>
    </row>
    <row r="49" spans="2:10" ht="15" customHeight="1">
      <c r="B49" s="15" t="s">
        <v>120</v>
      </c>
      <c r="C49" s="18" t="s">
        <v>121</v>
      </c>
      <c r="D49" s="18" t="s">
        <v>13</v>
      </c>
      <c r="E49" s="18" t="s">
        <v>28</v>
      </c>
      <c r="F49" s="19">
        <v>596413</v>
      </c>
      <c r="G49" s="20">
        <v>19574.27</v>
      </c>
      <c r="H49" s="21">
        <v>3.7316874453999999E-3</v>
      </c>
      <c r="I49" s="20" t="s">
        <v>13</v>
      </c>
      <c r="J49" s="16" t="s">
        <v>13</v>
      </c>
    </row>
    <row r="50" spans="2:10" ht="15" customHeight="1">
      <c r="B50" s="15" t="s">
        <v>122</v>
      </c>
      <c r="C50" s="18" t="s">
        <v>123</v>
      </c>
      <c r="D50" s="18" t="s">
        <v>13</v>
      </c>
      <c r="E50" s="18" t="s">
        <v>92</v>
      </c>
      <c r="F50" s="19">
        <v>27768983</v>
      </c>
      <c r="G50" s="20">
        <v>19541.03</v>
      </c>
      <c r="H50" s="21">
        <v>3.7253504892000001E-3</v>
      </c>
      <c r="I50" s="20" t="s">
        <v>13</v>
      </c>
      <c r="J50" s="16" t="s">
        <v>13</v>
      </c>
    </row>
    <row r="51" spans="2:10" ht="15" customHeight="1">
      <c r="B51" s="15" t="s">
        <v>124</v>
      </c>
      <c r="C51" s="18" t="s">
        <v>125</v>
      </c>
      <c r="D51" s="18" t="s">
        <v>13</v>
      </c>
      <c r="E51" s="18" t="s">
        <v>22</v>
      </c>
      <c r="F51" s="19">
        <v>5815324</v>
      </c>
      <c r="G51" s="20">
        <v>18844.560000000001</v>
      </c>
      <c r="H51" s="21">
        <v>3.5925737187999999E-3</v>
      </c>
      <c r="I51" s="20" t="s">
        <v>13</v>
      </c>
      <c r="J51" s="16" t="s">
        <v>13</v>
      </c>
    </row>
    <row r="52" spans="2:10" ht="15" customHeight="1">
      <c r="B52" s="15" t="s">
        <v>126</v>
      </c>
      <c r="C52" s="18" t="s">
        <v>127</v>
      </c>
      <c r="D52" s="18" t="s">
        <v>13</v>
      </c>
      <c r="E52" s="18" t="s">
        <v>128</v>
      </c>
      <c r="F52" s="19">
        <v>1662580</v>
      </c>
      <c r="G52" s="20">
        <v>17573.47</v>
      </c>
      <c r="H52" s="21">
        <v>3.3502499644E-3</v>
      </c>
      <c r="I52" s="20" t="s">
        <v>13</v>
      </c>
      <c r="J52" s="16" t="s">
        <v>13</v>
      </c>
    </row>
    <row r="53" spans="2:10" ht="15" customHeight="1">
      <c r="B53" s="15" t="s">
        <v>129</v>
      </c>
      <c r="C53" s="18" t="s">
        <v>130</v>
      </c>
      <c r="D53" s="18" t="s">
        <v>13</v>
      </c>
      <c r="E53" s="18" t="s">
        <v>95</v>
      </c>
      <c r="F53" s="19">
        <v>3629551</v>
      </c>
      <c r="G53" s="20">
        <v>17467.21</v>
      </c>
      <c r="H53" s="21">
        <v>3.3299922940999999E-3</v>
      </c>
      <c r="I53" s="20" t="s">
        <v>13</v>
      </c>
      <c r="J53" s="16" t="s">
        <v>13</v>
      </c>
    </row>
    <row r="54" spans="2:10" ht="15" customHeight="1">
      <c r="B54" s="15" t="s">
        <v>131</v>
      </c>
      <c r="C54" s="18" t="s">
        <v>132</v>
      </c>
      <c r="D54" s="18" t="s">
        <v>13</v>
      </c>
      <c r="E54" s="18" t="s">
        <v>133</v>
      </c>
      <c r="F54" s="19">
        <v>1094994</v>
      </c>
      <c r="G54" s="20">
        <v>17444.349999999999</v>
      </c>
      <c r="H54" s="21">
        <v>3.3256342068999998E-3</v>
      </c>
      <c r="I54" s="20" t="s">
        <v>13</v>
      </c>
      <c r="J54" s="16" t="s">
        <v>13</v>
      </c>
    </row>
    <row r="55" spans="2:10" ht="15" customHeight="1">
      <c r="B55" s="15" t="s">
        <v>134</v>
      </c>
      <c r="C55" s="18" t="s">
        <v>135</v>
      </c>
      <c r="D55" s="18" t="s">
        <v>13</v>
      </c>
      <c r="E55" s="18" t="s">
        <v>53</v>
      </c>
      <c r="F55" s="19">
        <v>693580</v>
      </c>
      <c r="G55" s="20">
        <v>16835.96</v>
      </c>
      <c r="H55" s="21">
        <v>3.2096492264000001E-3</v>
      </c>
      <c r="I55" s="20" t="s">
        <v>13</v>
      </c>
      <c r="J55" s="16" t="s">
        <v>13</v>
      </c>
    </row>
    <row r="56" spans="2:10" ht="15" customHeight="1">
      <c r="B56" s="15" t="s">
        <v>136</v>
      </c>
      <c r="C56" s="18" t="s">
        <v>137</v>
      </c>
      <c r="D56" s="18" t="s">
        <v>13</v>
      </c>
      <c r="E56" s="18" t="s">
        <v>34</v>
      </c>
      <c r="F56" s="19">
        <v>1051058</v>
      </c>
      <c r="G56" s="20">
        <v>16469.03</v>
      </c>
      <c r="H56" s="21">
        <v>3.1396967799E-3</v>
      </c>
      <c r="I56" s="20" t="s">
        <v>13</v>
      </c>
      <c r="J56" s="16" t="s">
        <v>13</v>
      </c>
    </row>
    <row r="57" spans="2:10" ht="15" customHeight="1">
      <c r="B57" s="15" t="s">
        <v>138</v>
      </c>
      <c r="C57" s="18" t="s">
        <v>139</v>
      </c>
      <c r="D57" s="18" t="s">
        <v>13</v>
      </c>
      <c r="E57" s="18" t="s">
        <v>37</v>
      </c>
      <c r="F57" s="19">
        <v>532353</v>
      </c>
      <c r="G57" s="20">
        <v>15331.23</v>
      </c>
      <c r="H57" s="21">
        <v>2.9227837622000001E-3</v>
      </c>
      <c r="I57" s="20" t="s">
        <v>13</v>
      </c>
      <c r="J57" s="16" t="s">
        <v>13</v>
      </c>
    </row>
    <row r="58" spans="2:10" ht="15" customHeight="1">
      <c r="B58" s="15" t="s">
        <v>140</v>
      </c>
      <c r="C58" s="18" t="s">
        <v>141</v>
      </c>
      <c r="D58" s="18" t="s">
        <v>13</v>
      </c>
      <c r="E58" s="18" t="s">
        <v>25</v>
      </c>
      <c r="F58" s="19">
        <v>3464810</v>
      </c>
      <c r="G58" s="20">
        <v>14275.02</v>
      </c>
      <c r="H58" s="21">
        <v>2.7214252647000002E-3</v>
      </c>
      <c r="I58" s="20" t="s">
        <v>13</v>
      </c>
      <c r="J58" s="16" t="s">
        <v>13</v>
      </c>
    </row>
    <row r="59" spans="2:10" ht="15" customHeight="1">
      <c r="B59" s="15" t="s">
        <v>142</v>
      </c>
      <c r="C59" s="18" t="s">
        <v>143</v>
      </c>
      <c r="D59" s="18" t="s">
        <v>13</v>
      </c>
      <c r="E59" s="18" t="s">
        <v>144</v>
      </c>
      <c r="F59" s="19">
        <v>593990</v>
      </c>
      <c r="G59" s="20">
        <v>14077.56</v>
      </c>
      <c r="H59" s="21">
        <v>2.6837809998999998E-3</v>
      </c>
      <c r="I59" s="20" t="s">
        <v>13</v>
      </c>
      <c r="J59" s="16" t="s">
        <v>13</v>
      </c>
    </row>
    <row r="60" spans="2:10" ht="15" customHeight="1">
      <c r="B60" s="15" t="s">
        <v>145</v>
      </c>
      <c r="C60" s="18" t="s">
        <v>146</v>
      </c>
      <c r="D60" s="18" t="s">
        <v>13</v>
      </c>
      <c r="E60" s="18" t="s">
        <v>147</v>
      </c>
      <c r="F60" s="19">
        <v>34997</v>
      </c>
      <c r="G60" s="20">
        <v>12528.93</v>
      </c>
      <c r="H60" s="21">
        <v>2.3885463307E-3</v>
      </c>
      <c r="I60" s="20" t="s">
        <v>13</v>
      </c>
      <c r="J60" s="16" t="s">
        <v>13</v>
      </c>
    </row>
    <row r="61" spans="2:10" ht="15" customHeight="1">
      <c r="B61" s="15" t="s">
        <v>148</v>
      </c>
      <c r="C61" s="18" t="s">
        <v>149</v>
      </c>
      <c r="D61" s="18" t="s">
        <v>13</v>
      </c>
      <c r="E61" s="18" t="s">
        <v>128</v>
      </c>
      <c r="F61" s="19">
        <v>615818</v>
      </c>
      <c r="G61" s="20">
        <v>12445.68</v>
      </c>
      <c r="H61" s="21">
        <v>2.3726753439999998E-3</v>
      </c>
      <c r="I61" s="20" t="s">
        <v>13</v>
      </c>
      <c r="J61" s="16" t="s">
        <v>13</v>
      </c>
    </row>
    <row r="62" spans="2:10" ht="15" customHeight="1">
      <c r="B62" s="15" t="s">
        <v>150</v>
      </c>
      <c r="C62" s="18" t="s">
        <v>151</v>
      </c>
      <c r="D62" s="18" t="s">
        <v>13</v>
      </c>
      <c r="E62" s="18" t="s">
        <v>152</v>
      </c>
      <c r="F62" s="19">
        <v>700455</v>
      </c>
      <c r="G62" s="20">
        <v>11821.58</v>
      </c>
      <c r="H62" s="21">
        <v>2.2536953699999998E-3</v>
      </c>
      <c r="I62" s="20" t="s">
        <v>13</v>
      </c>
      <c r="J62" s="16" t="s">
        <v>13</v>
      </c>
    </row>
    <row r="63" spans="2:10" ht="15" customHeight="1">
      <c r="B63" s="15" t="s">
        <v>153</v>
      </c>
      <c r="C63" s="18" t="s">
        <v>154</v>
      </c>
      <c r="D63" s="18" t="s">
        <v>13</v>
      </c>
      <c r="E63" s="18" t="s">
        <v>155</v>
      </c>
      <c r="F63" s="19">
        <v>245000</v>
      </c>
      <c r="G63" s="20">
        <v>11763.92</v>
      </c>
      <c r="H63" s="21">
        <v>2.2427029244000002E-3</v>
      </c>
      <c r="I63" s="20" t="s">
        <v>13</v>
      </c>
      <c r="J63" s="16" t="s">
        <v>13</v>
      </c>
    </row>
    <row r="64" spans="2:10" ht="15" customHeight="1">
      <c r="B64" s="15" t="s">
        <v>156</v>
      </c>
      <c r="C64" s="18" t="s">
        <v>157</v>
      </c>
      <c r="D64" s="18" t="s">
        <v>13</v>
      </c>
      <c r="E64" s="18" t="s">
        <v>95</v>
      </c>
      <c r="F64" s="19">
        <v>2300097</v>
      </c>
      <c r="G64" s="20">
        <v>11408.48</v>
      </c>
      <c r="H64" s="21">
        <v>2.1749409601000001E-3</v>
      </c>
      <c r="I64" s="20" t="s">
        <v>13</v>
      </c>
      <c r="J64" s="16" t="s">
        <v>13</v>
      </c>
    </row>
    <row r="65" spans="2:10" ht="15" customHeight="1">
      <c r="B65" s="15" t="s">
        <v>158</v>
      </c>
      <c r="C65" s="18" t="s">
        <v>159</v>
      </c>
      <c r="D65" s="18" t="s">
        <v>13</v>
      </c>
      <c r="E65" s="18" t="s">
        <v>34</v>
      </c>
      <c r="F65" s="19">
        <v>2152365</v>
      </c>
      <c r="G65" s="20">
        <v>11128.8</v>
      </c>
      <c r="H65" s="21">
        <v>2.1216220702999999E-3</v>
      </c>
      <c r="I65" s="20" t="s">
        <v>13</v>
      </c>
      <c r="J65" s="16" t="s">
        <v>13</v>
      </c>
    </row>
    <row r="66" spans="2:10" ht="15" customHeight="1">
      <c r="B66" s="15" t="s">
        <v>160</v>
      </c>
      <c r="C66" s="18" t="s">
        <v>161</v>
      </c>
      <c r="D66" s="18" t="s">
        <v>13</v>
      </c>
      <c r="E66" s="18" t="s">
        <v>69</v>
      </c>
      <c r="F66" s="19">
        <v>8688372</v>
      </c>
      <c r="G66" s="20">
        <v>10949.09</v>
      </c>
      <c r="H66" s="21">
        <v>2.0873617096000001E-3</v>
      </c>
      <c r="I66" s="20" t="s">
        <v>13</v>
      </c>
      <c r="J66" s="16" t="s">
        <v>13</v>
      </c>
    </row>
    <row r="67" spans="2:10" ht="15" customHeight="1">
      <c r="B67" s="15" t="s">
        <v>162</v>
      </c>
      <c r="C67" s="18" t="s">
        <v>163</v>
      </c>
      <c r="D67" s="18" t="s">
        <v>13</v>
      </c>
      <c r="E67" s="18" t="s">
        <v>164</v>
      </c>
      <c r="F67" s="19">
        <v>1856115</v>
      </c>
      <c r="G67" s="20">
        <v>10719.06</v>
      </c>
      <c r="H67" s="21">
        <v>2.0435082191000002E-3</v>
      </c>
      <c r="I67" s="20" t="s">
        <v>13</v>
      </c>
      <c r="J67" s="16" t="s">
        <v>13</v>
      </c>
    </row>
    <row r="68" spans="2:10" ht="15" customHeight="1">
      <c r="B68" s="15" t="s">
        <v>165</v>
      </c>
      <c r="C68" s="18" t="s">
        <v>166</v>
      </c>
      <c r="D68" s="18" t="s">
        <v>13</v>
      </c>
      <c r="E68" s="18" t="s">
        <v>167</v>
      </c>
      <c r="F68" s="19">
        <v>674309</v>
      </c>
      <c r="G68" s="20">
        <v>10696.56</v>
      </c>
      <c r="H68" s="21">
        <v>2.0392187631999999E-3</v>
      </c>
      <c r="I68" s="20" t="s">
        <v>13</v>
      </c>
      <c r="J68" s="16" t="s">
        <v>13</v>
      </c>
    </row>
    <row r="69" spans="2:10" ht="15" customHeight="1">
      <c r="B69" s="15" t="s">
        <v>168</v>
      </c>
      <c r="C69" s="18" t="s">
        <v>169</v>
      </c>
      <c r="D69" s="18" t="s">
        <v>13</v>
      </c>
      <c r="E69" s="18" t="s">
        <v>56</v>
      </c>
      <c r="F69" s="19">
        <v>1076065</v>
      </c>
      <c r="G69" s="20">
        <v>10567.5</v>
      </c>
      <c r="H69" s="21">
        <v>2.0146144443000001E-3</v>
      </c>
      <c r="I69" s="20" t="s">
        <v>13</v>
      </c>
      <c r="J69" s="16" t="s">
        <v>13</v>
      </c>
    </row>
    <row r="70" spans="2:10" ht="15" customHeight="1">
      <c r="B70" s="15" t="s">
        <v>170</v>
      </c>
      <c r="C70" s="18" t="s">
        <v>171</v>
      </c>
      <c r="D70" s="18" t="s">
        <v>13</v>
      </c>
      <c r="E70" s="18" t="s">
        <v>109</v>
      </c>
      <c r="F70" s="19">
        <v>1375218</v>
      </c>
      <c r="G70" s="20">
        <v>10490.16</v>
      </c>
      <c r="H70" s="21">
        <v>1.9998701545999998E-3</v>
      </c>
      <c r="I70" s="20" t="s">
        <v>13</v>
      </c>
      <c r="J70" s="16" t="s">
        <v>13</v>
      </c>
    </row>
    <row r="71" spans="2:10" ht="15" customHeight="1">
      <c r="B71" s="15" t="s">
        <v>172</v>
      </c>
      <c r="C71" s="18" t="s">
        <v>173</v>
      </c>
      <c r="D71" s="18" t="s">
        <v>13</v>
      </c>
      <c r="E71" s="18" t="s">
        <v>37</v>
      </c>
      <c r="F71" s="19">
        <v>1746856</v>
      </c>
      <c r="G71" s="20">
        <v>10489.87</v>
      </c>
      <c r="H71" s="21">
        <v>1.9998148683E-3</v>
      </c>
      <c r="I71" s="20" t="s">
        <v>13</v>
      </c>
      <c r="J71" s="16" t="s">
        <v>13</v>
      </c>
    </row>
    <row r="72" spans="2:10" ht="15" customHeight="1">
      <c r="B72" s="15" t="s">
        <v>174</v>
      </c>
      <c r="C72" s="18" t="s">
        <v>175</v>
      </c>
      <c r="D72" s="18" t="s">
        <v>13</v>
      </c>
      <c r="E72" s="18" t="s">
        <v>17</v>
      </c>
      <c r="F72" s="19">
        <v>34424604</v>
      </c>
      <c r="G72" s="20">
        <v>10403.120000000001</v>
      </c>
      <c r="H72" s="21">
        <v>1.9832766329000002E-3</v>
      </c>
      <c r="I72" s="20" t="s">
        <v>13</v>
      </c>
      <c r="J72" s="16" t="s">
        <v>13</v>
      </c>
    </row>
    <row r="73" spans="2:10" ht="15" customHeight="1">
      <c r="B73" s="15" t="s">
        <v>176</v>
      </c>
      <c r="C73" s="18" t="s">
        <v>177</v>
      </c>
      <c r="D73" s="18" t="s">
        <v>13</v>
      </c>
      <c r="E73" s="18" t="s">
        <v>17</v>
      </c>
      <c r="F73" s="19">
        <v>6121423</v>
      </c>
      <c r="G73" s="20">
        <v>10008.530000000001</v>
      </c>
      <c r="H73" s="21">
        <v>1.9080510153E-3</v>
      </c>
      <c r="I73" s="20" t="s">
        <v>13</v>
      </c>
      <c r="J73" s="16" t="s">
        <v>13</v>
      </c>
    </row>
    <row r="74" spans="2:10" ht="15" customHeight="1">
      <c r="B74" s="15" t="s">
        <v>178</v>
      </c>
      <c r="C74" s="18" t="s">
        <v>179</v>
      </c>
      <c r="D74" s="18" t="s">
        <v>13</v>
      </c>
      <c r="E74" s="18" t="s">
        <v>53</v>
      </c>
      <c r="F74" s="19">
        <v>881285</v>
      </c>
      <c r="G74" s="20">
        <v>9992.01</v>
      </c>
      <c r="H74" s="21">
        <v>1.9049016015000001E-3</v>
      </c>
      <c r="I74" s="20" t="s">
        <v>13</v>
      </c>
      <c r="J74" s="16" t="s">
        <v>13</v>
      </c>
    </row>
    <row r="75" spans="2:10" ht="15" customHeight="1">
      <c r="B75" s="15" t="s">
        <v>180</v>
      </c>
      <c r="C75" s="18" t="s">
        <v>181</v>
      </c>
      <c r="D75" s="18" t="s">
        <v>13</v>
      </c>
      <c r="E75" s="18" t="s">
        <v>25</v>
      </c>
      <c r="F75" s="19">
        <v>2165254</v>
      </c>
      <c r="G75" s="20">
        <v>9872.48</v>
      </c>
      <c r="H75" s="21">
        <v>1.8821141054E-3</v>
      </c>
      <c r="I75" s="20" t="s">
        <v>13</v>
      </c>
      <c r="J75" s="16" t="s">
        <v>13</v>
      </c>
    </row>
    <row r="76" spans="2:10" ht="15" customHeight="1">
      <c r="B76" s="15" t="s">
        <v>182</v>
      </c>
      <c r="C76" s="18" t="s">
        <v>183</v>
      </c>
      <c r="D76" s="18" t="s">
        <v>13</v>
      </c>
      <c r="E76" s="18" t="s">
        <v>56</v>
      </c>
      <c r="F76" s="19">
        <v>6636361</v>
      </c>
      <c r="G76" s="20">
        <v>9846.3700000000008</v>
      </c>
      <c r="H76" s="21">
        <v>1.8771364301999999E-3</v>
      </c>
      <c r="I76" s="20" t="s">
        <v>13</v>
      </c>
      <c r="J76" s="16" t="s">
        <v>13</v>
      </c>
    </row>
    <row r="77" spans="2:10" ht="15" customHeight="1">
      <c r="B77" s="15" t="s">
        <v>184</v>
      </c>
      <c r="C77" s="18" t="s">
        <v>185</v>
      </c>
      <c r="D77" s="18" t="s">
        <v>13</v>
      </c>
      <c r="E77" s="18" t="s">
        <v>37</v>
      </c>
      <c r="F77" s="19">
        <v>1457063</v>
      </c>
      <c r="G77" s="20">
        <v>9795.11</v>
      </c>
      <c r="H77" s="21">
        <v>1.8673640965000001E-3</v>
      </c>
      <c r="I77" s="20" t="s">
        <v>13</v>
      </c>
      <c r="J77" s="16" t="s">
        <v>13</v>
      </c>
    </row>
    <row r="78" spans="2:10" ht="15" customHeight="1">
      <c r="B78" s="15" t="s">
        <v>186</v>
      </c>
      <c r="C78" s="18" t="s">
        <v>187</v>
      </c>
      <c r="D78" s="18" t="s">
        <v>13</v>
      </c>
      <c r="E78" s="18" t="s">
        <v>188</v>
      </c>
      <c r="F78" s="19">
        <v>1421799</v>
      </c>
      <c r="G78" s="20">
        <v>9734.35</v>
      </c>
      <c r="H78" s="21">
        <v>1.8557806591999999E-3</v>
      </c>
      <c r="I78" s="20" t="s">
        <v>13</v>
      </c>
      <c r="J78" s="16" t="s">
        <v>13</v>
      </c>
    </row>
    <row r="79" spans="2:10" ht="15" customHeight="1">
      <c r="B79" s="15" t="s">
        <v>189</v>
      </c>
      <c r="C79" s="18" t="s">
        <v>190</v>
      </c>
      <c r="D79" s="18" t="s">
        <v>13</v>
      </c>
      <c r="E79" s="18" t="s">
        <v>82</v>
      </c>
      <c r="F79" s="19">
        <v>2174422</v>
      </c>
      <c r="G79" s="20">
        <v>9544.6299999999992</v>
      </c>
      <c r="H79" s="21">
        <v>1.8196119672000001E-3</v>
      </c>
      <c r="I79" s="20" t="s">
        <v>13</v>
      </c>
      <c r="J79" s="16" t="s">
        <v>13</v>
      </c>
    </row>
    <row r="80" spans="2:10" ht="15" customHeight="1">
      <c r="B80" s="15" t="s">
        <v>191</v>
      </c>
      <c r="C80" s="18" t="s">
        <v>192</v>
      </c>
      <c r="D80" s="18" t="s">
        <v>13</v>
      </c>
      <c r="E80" s="18" t="s">
        <v>193</v>
      </c>
      <c r="F80" s="19">
        <v>485725</v>
      </c>
      <c r="G80" s="20">
        <v>9228.7800000000007</v>
      </c>
      <c r="H80" s="21">
        <v>1.7593975388000001E-3</v>
      </c>
      <c r="I80" s="20" t="s">
        <v>13</v>
      </c>
      <c r="J80" s="16" t="s">
        <v>13</v>
      </c>
    </row>
    <row r="81" spans="2:10" ht="15" customHeight="1">
      <c r="B81" s="15" t="s">
        <v>194</v>
      </c>
      <c r="C81" s="18" t="s">
        <v>195</v>
      </c>
      <c r="D81" s="18" t="s">
        <v>13</v>
      </c>
      <c r="E81" s="18" t="s">
        <v>193</v>
      </c>
      <c r="F81" s="19">
        <v>1327384</v>
      </c>
      <c r="G81" s="20">
        <v>9172.89</v>
      </c>
      <c r="H81" s="21">
        <v>1.7487425303999999E-3</v>
      </c>
      <c r="I81" s="20" t="s">
        <v>13</v>
      </c>
      <c r="J81" s="16" t="s">
        <v>13</v>
      </c>
    </row>
    <row r="82" spans="2:10" ht="15" customHeight="1">
      <c r="B82" s="15" t="s">
        <v>196</v>
      </c>
      <c r="C82" s="18" t="s">
        <v>197</v>
      </c>
      <c r="D82" s="18" t="s">
        <v>13</v>
      </c>
      <c r="E82" s="18" t="s">
        <v>193</v>
      </c>
      <c r="F82" s="19">
        <v>2336840</v>
      </c>
      <c r="G82" s="20">
        <v>8544.66</v>
      </c>
      <c r="H82" s="21">
        <v>1.628975203E-3</v>
      </c>
      <c r="I82" s="20" t="s">
        <v>13</v>
      </c>
      <c r="J82" s="16" t="s">
        <v>13</v>
      </c>
    </row>
    <row r="83" spans="2:10" ht="15" customHeight="1">
      <c r="B83" s="15" t="s">
        <v>198</v>
      </c>
      <c r="C83" s="18" t="s">
        <v>199</v>
      </c>
      <c r="D83" s="18" t="s">
        <v>13</v>
      </c>
      <c r="E83" s="18" t="s">
        <v>34</v>
      </c>
      <c r="F83" s="19">
        <v>1523085</v>
      </c>
      <c r="G83" s="20">
        <v>8275.68</v>
      </c>
      <c r="H83" s="21">
        <v>1.5776961877999999E-3</v>
      </c>
      <c r="I83" s="20" t="s">
        <v>13</v>
      </c>
      <c r="J83" s="16" t="s">
        <v>13</v>
      </c>
    </row>
    <row r="84" spans="2:10" ht="15" customHeight="1">
      <c r="B84" s="15" t="s">
        <v>200</v>
      </c>
      <c r="C84" s="18" t="s">
        <v>201</v>
      </c>
      <c r="D84" s="18" t="s">
        <v>13</v>
      </c>
      <c r="E84" s="18" t="s">
        <v>92</v>
      </c>
      <c r="F84" s="19">
        <v>2570636</v>
      </c>
      <c r="G84" s="20">
        <v>8271.02</v>
      </c>
      <c r="H84" s="21">
        <v>1.5768077938000001E-3</v>
      </c>
      <c r="I84" s="20" t="s">
        <v>13</v>
      </c>
      <c r="J84" s="16" t="s">
        <v>13</v>
      </c>
    </row>
    <row r="85" spans="2:10" ht="15" customHeight="1">
      <c r="B85" s="15" t="s">
        <v>202</v>
      </c>
      <c r="C85" s="18" t="s">
        <v>203</v>
      </c>
      <c r="D85" s="18" t="s">
        <v>13</v>
      </c>
      <c r="E85" s="18" t="s">
        <v>34</v>
      </c>
      <c r="F85" s="19">
        <v>5277220</v>
      </c>
      <c r="G85" s="20">
        <v>8239.85</v>
      </c>
      <c r="H85" s="21">
        <v>1.5708654676E-3</v>
      </c>
      <c r="I85" s="20" t="s">
        <v>13</v>
      </c>
      <c r="J85" s="16" t="s">
        <v>13</v>
      </c>
    </row>
    <row r="86" spans="2:10" ht="15" customHeight="1">
      <c r="B86" s="15" t="s">
        <v>204</v>
      </c>
      <c r="C86" s="18" t="s">
        <v>205</v>
      </c>
      <c r="D86" s="18" t="s">
        <v>13</v>
      </c>
      <c r="E86" s="18" t="s">
        <v>69</v>
      </c>
      <c r="F86" s="19">
        <v>35085</v>
      </c>
      <c r="G86" s="20">
        <v>8139.72</v>
      </c>
      <c r="H86" s="21">
        <v>1.5517764357000001E-3</v>
      </c>
      <c r="I86" s="20" t="s">
        <v>13</v>
      </c>
      <c r="J86" s="16" t="s">
        <v>13</v>
      </c>
    </row>
    <row r="87" spans="2:10" ht="15" customHeight="1">
      <c r="B87" s="15" t="s">
        <v>206</v>
      </c>
      <c r="C87" s="18" t="s">
        <v>207</v>
      </c>
      <c r="D87" s="18" t="s">
        <v>13</v>
      </c>
      <c r="E87" s="18" t="s">
        <v>128</v>
      </c>
      <c r="F87" s="19">
        <v>427564</v>
      </c>
      <c r="G87" s="20">
        <v>7941.57</v>
      </c>
      <c r="H87" s="21">
        <v>1.5140006275999999E-3</v>
      </c>
      <c r="I87" s="20" t="s">
        <v>13</v>
      </c>
      <c r="J87" s="16" t="s">
        <v>13</v>
      </c>
    </row>
    <row r="88" spans="2:10" ht="15" customHeight="1">
      <c r="B88" s="15" t="s">
        <v>208</v>
      </c>
      <c r="C88" s="18" t="s">
        <v>209</v>
      </c>
      <c r="D88" s="18" t="s">
        <v>13</v>
      </c>
      <c r="E88" s="18" t="s">
        <v>48</v>
      </c>
      <c r="F88" s="19">
        <v>458226</v>
      </c>
      <c r="G88" s="20">
        <v>7897.07</v>
      </c>
      <c r="H88" s="21">
        <v>1.5055170371E-3</v>
      </c>
      <c r="I88" s="20" t="s">
        <v>13</v>
      </c>
      <c r="J88" s="16" t="s">
        <v>13</v>
      </c>
    </row>
    <row r="89" spans="2:10" ht="15" customHeight="1">
      <c r="B89" s="15" t="s">
        <v>210</v>
      </c>
      <c r="C89" s="18" t="s">
        <v>211</v>
      </c>
      <c r="D89" s="18" t="s">
        <v>13</v>
      </c>
      <c r="E89" s="18" t="s">
        <v>92</v>
      </c>
      <c r="F89" s="19">
        <v>1521365</v>
      </c>
      <c r="G89" s="20">
        <v>7895.88</v>
      </c>
      <c r="H89" s="21">
        <v>1.5052901725E-3</v>
      </c>
      <c r="I89" s="20" t="s">
        <v>13</v>
      </c>
      <c r="J89" s="16" t="s">
        <v>13</v>
      </c>
    </row>
    <row r="90" spans="2:10" ht="15" customHeight="1">
      <c r="B90" s="15" t="s">
        <v>212</v>
      </c>
      <c r="C90" s="18" t="s">
        <v>213</v>
      </c>
      <c r="D90" s="18" t="s">
        <v>13</v>
      </c>
      <c r="E90" s="18" t="s">
        <v>152</v>
      </c>
      <c r="F90" s="19">
        <v>2133842</v>
      </c>
      <c r="G90" s="20">
        <v>6765.35</v>
      </c>
      <c r="H90" s="21">
        <v>1.2897631257000001E-3</v>
      </c>
      <c r="I90" s="20" t="s">
        <v>13</v>
      </c>
      <c r="J90" s="16" t="s">
        <v>13</v>
      </c>
    </row>
    <row r="91" spans="2:10" ht="15" customHeight="1">
      <c r="B91" s="15" t="s">
        <v>214</v>
      </c>
      <c r="C91" s="18" t="s">
        <v>215</v>
      </c>
      <c r="D91" s="18" t="s">
        <v>13</v>
      </c>
      <c r="E91" s="18" t="s">
        <v>216</v>
      </c>
      <c r="F91" s="19">
        <v>358400</v>
      </c>
      <c r="G91" s="20">
        <v>6720</v>
      </c>
      <c r="H91" s="21">
        <v>1.2811174891000001E-3</v>
      </c>
      <c r="I91" s="20" t="s">
        <v>13</v>
      </c>
      <c r="J91" s="16" t="s">
        <v>13</v>
      </c>
    </row>
    <row r="92" spans="2:10" ht="15" customHeight="1">
      <c r="B92" s="15" t="s">
        <v>217</v>
      </c>
      <c r="C92" s="18" t="s">
        <v>218</v>
      </c>
      <c r="D92" s="18" t="s">
        <v>13</v>
      </c>
      <c r="E92" s="18" t="s">
        <v>53</v>
      </c>
      <c r="F92" s="19">
        <v>509291</v>
      </c>
      <c r="G92" s="20">
        <v>6682.92</v>
      </c>
      <c r="H92" s="21">
        <v>1.2740484658E-3</v>
      </c>
      <c r="I92" s="20" t="s">
        <v>13</v>
      </c>
      <c r="J92" s="16" t="s">
        <v>13</v>
      </c>
    </row>
    <row r="93" spans="2:10" ht="15" customHeight="1">
      <c r="B93" s="15" t="s">
        <v>219</v>
      </c>
      <c r="C93" s="18" t="s">
        <v>220</v>
      </c>
      <c r="D93" s="18" t="s">
        <v>13</v>
      </c>
      <c r="E93" s="18" t="s">
        <v>92</v>
      </c>
      <c r="F93" s="19">
        <v>205485</v>
      </c>
      <c r="G93" s="20">
        <v>6636.34</v>
      </c>
      <c r="H93" s="21">
        <v>1.2651683389E-3</v>
      </c>
      <c r="I93" s="20" t="s">
        <v>13</v>
      </c>
      <c r="J93" s="16" t="s">
        <v>13</v>
      </c>
    </row>
    <row r="94" spans="2:10" ht="15" customHeight="1">
      <c r="B94" s="15" t="s">
        <v>221</v>
      </c>
      <c r="C94" s="18" t="s">
        <v>222</v>
      </c>
      <c r="D94" s="18" t="s">
        <v>13</v>
      </c>
      <c r="E94" s="18" t="s">
        <v>31</v>
      </c>
      <c r="F94" s="19">
        <v>450000</v>
      </c>
      <c r="G94" s="20">
        <v>6378.3</v>
      </c>
      <c r="H94" s="21">
        <v>1.2159749524000001E-3</v>
      </c>
      <c r="I94" s="20" t="s">
        <v>13</v>
      </c>
      <c r="J94" s="16" t="s">
        <v>13</v>
      </c>
    </row>
    <row r="95" spans="2:10" ht="15" customHeight="1">
      <c r="B95" s="15" t="s">
        <v>223</v>
      </c>
      <c r="C95" s="18" t="s">
        <v>224</v>
      </c>
      <c r="D95" s="18" t="s">
        <v>13</v>
      </c>
      <c r="E95" s="18" t="s">
        <v>82</v>
      </c>
      <c r="F95" s="19">
        <v>16583943</v>
      </c>
      <c r="G95" s="20">
        <v>6101.23</v>
      </c>
      <c r="H95" s="21">
        <v>1.1631536394999999E-3</v>
      </c>
      <c r="I95" s="20" t="s">
        <v>13</v>
      </c>
      <c r="J95" s="16" t="s">
        <v>13</v>
      </c>
    </row>
    <row r="96" spans="2:10" ht="15" customHeight="1">
      <c r="B96" s="15" t="s">
        <v>225</v>
      </c>
      <c r="C96" s="18" t="s">
        <v>226</v>
      </c>
      <c r="D96" s="18" t="s">
        <v>13</v>
      </c>
      <c r="E96" s="18" t="s">
        <v>42</v>
      </c>
      <c r="F96" s="19">
        <v>2154638</v>
      </c>
      <c r="G96" s="20">
        <v>5569.31</v>
      </c>
      <c r="H96" s="21">
        <v>1.0617470897000001E-3</v>
      </c>
      <c r="I96" s="20" t="s">
        <v>13</v>
      </c>
      <c r="J96" s="16" t="s">
        <v>13</v>
      </c>
    </row>
    <row r="97" spans="2:10" ht="15" customHeight="1">
      <c r="B97" s="15" t="s">
        <v>227</v>
      </c>
      <c r="C97" s="18" t="s">
        <v>228</v>
      </c>
      <c r="D97" s="18" t="s">
        <v>13</v>
      </c>
      <c r="E97" s="18" t="s">
        <v>37</v>
      </c>
      <c r="F97" s="19">
        <v>1935607</v>
      </c>
      <c r="G97" s="20">
        <v>5456.48</v>
      </c>
      <c r="H97" s="21">
        <v>1.0402368983000001E-3</v>
      </c>
      <c r="I97" s="20" t="s">
        <v>13</v>
      </c>
      <c r="J97" s="16" t="s">
        <v>13</v>
      </c>
    </row>
    <row r="98" spans="2:10" ht="15" customHeight="1">
      <c r="B98" s="15" t="s">
        <v>229</v>
      </c>
      <c r="C98" s="18" t="s">
        <v>230</v>
      </c>
      <c r="D98" s="18" t="s">
        <v>13</v>
      </c>
      <c r="E98" s="18" t="s">
        <v>31</v>
      </c>
      <c r="F98" s="19">
        <v>1331531</v>
      </c>
      <c r="G98" s="20">
        <v>5352.09</v>
      </c>
      <c r="H98" s="21">
        <v>1.0203357294999999E-3</v>
      </c>
      <c r="I98" s="20" t="s">
        <v>13</v>
      </c>
      <c r="J98" s="16" t="s">
        <v>13</v>
      </c>
    </row>
    <row r="99" spans="2:10" ht="15" customHeight="1">
      <c r="B99" s="15" t="s">
        <v>231</v>
      </c>
      <c r="C99" s="18" t="s">
        <v>232</v>
      </c>
      <c r="D99" s="18" t="s">
        <v>13</v>
      </c>
      <c r="E99" s="18" t="s">
        <v>128</v>
      </c>
      <c r="F99" s="19">
        <v>767879</v>
      </c>
      <c r="G99" s="20">
        <v>5239.62</v>
      </c>
      <c r="H99" s="21">
        <v>9.9889416929999997E-4</v>
      </c>
      <c r="I99" s="20" t="s">
        <v>13</v>
      </c>
      <c r="J99" s="16" t="s">
        <v>13</v>
      </c>
    </row>
    <row r="100" spans="2:10" ht="15" customHeight="1">
      <c r="B100" s="15" t="s">
        <v>233</v>
      </c>
      <c r="C100" s="18" t="s">
        <v>234</v>
      </c>
      <c r="D100" s="18" t="s">
        <v>13</v>
      </c>
      <c r="E100" s="18" t="s">
        <v>235</v>
      </c>
      <c r="F100" s="19">
        <v>346076</v>
      </c>
      <c r="G100" s="20">
        <v>5065.8599999999997</v>
      </c>
      <c r="H100" s="21">
        <v>9.6576813140000003E-4</v>
      </c>
      <c r="I100" s="20" t="s">
        <v>13</v>
      </c>
      <c r="J100" s="16" t="s">
        <v>13</v>
      </c>
    </row>
    <row r="101" spans="2:10" ht="15" customHeight="1">
      <c r="B101" s="15" t="s">
        <v>236</v>
      </c>
      <c r="C101" s="18" t="s">
        <v>237</v>
      </c>
      <c r="D101" s="18" t="s">
        <v>13</v>
      </c>
      <c r="E101" s="18" t="s">
        <v>193</v>
      </c>
      <c r="F101" s="19">
        <v>268768</v>
      </c>
      <c r="G101" s="20">
        <v>5020.59</v>
      </c>
      <c r="H101" s="21">
        <v>9.5713774619999995E-4</v>
      </c>
      <c r="I101" s="20" t="s">
        <v>13</v>
      </c>
      <c r="J101" s="16" t="s">
        <v>13</v>
      </c>
    </row>
    <row r="102" spans="2:10" ht="15" customHeight="1">
      <c r="B102" s="15" t="s">
        <v>238</v>
      </c>
      <c r="C102" s="18" t="s">
        <v>239</v>
      </c>
      <c r="D102" s="18" t="s">
        <v>13</v>
      </c>
      <c r="E102" s="18" t="s">
        <v>92</v>
      </c>
      <c r="F102" s="19">
        <v>44345</v>
      </c>
      <c r="G102" s="20">
        <v>4837.37</v>
      </c>
      <c r="H102" s="21">
        <v>9.2220823029999998E-4</v>
      </c>
      <c r="I102" s="20" t="s">
        <v>13</v>
      </c>
      <c r="J102" s="16" t="s">
        <v>13</v>
      </c>
    </row>
    <row r="103" spans="2:10" ht="15" customHeight="1">
      <c r="B103" s="15" t="s">
        <v>240</v>
      </c>
      <c r="C103" s="18" t="s">
        <v>241</v>
      </c>
      <c r="D103" s="18" t="s">
        <v>13</v>
      </c>
      <c r="E103" s="18" t="s">
        <v>144</v>
      </c>
      <c r="F103" s="19">
        <v>250000</v>
      </c>
      <c r="G103" s="20">
        <v>4764.75</v>
      </c>
      <c r="H103" s="21">
        <v>9.0836377320000004E-4</v>
      </c>
      <c r="I103" s="20" t="s">
        <v>13</v>
      </c>
      <c r="J103" s="16" t="s">
        <v>13</v>
      </c>
    </row>
    <row r="104" spans="2:10" ht="15" customHeight="1">
      <c r="B104" s="15" t="s">
        <v>242</v>
      </c>
      <c r="C104" s="18" t="s">
        <v>243</v>
      </c>
      <c r="D104" s="18" t="s">
        <v>13</v>
      </c>
      <c r="E104" s="18" t="s">
        <v>244</v>
      </c>
      <c r="F104" s="19">
        <v>455012</v>
      </c>
      <c r="G104" s="20">
        <v>4720.75</v>
      </c>
      <c r="H104" s="21">
        <v>8.9997550389999998E-4</v>
      </c>
      <c r="I104" s="20" t="s">
        <v>13</v>
      </c>
      <c r="J104" s="16" t="s">
        <v>13</v>
      </c>
    </row>
    <row r="105" spans="2:10" ht="15" customHeight="1">
      <c r="B105" s="15" t="s">
        <v>245</v>
      </c>
      <c r="C105" s="18" t="s">
        <v>246</v>
      </c>
      <c r="D105" s="18" t="s">
        <v>13</v>
      </c>
      <c r="E105" s="18" t="s">
        <v>17</v>
      </c>
      <c r="F105" s="19">
        <v>5583615</v>
      </c>
      <c r="G105" s="20">
        <v>4130.2</v>
      </c>
      <c r="H105" s="21">
        <v>7.8739158530000001E-4</v>
      </c>
      <c r="I105" s="20" t="s">
        <v>13</v>
      </c>
      <c r="J105" s="16" t="s">
        <v>13</v>
      </c>
    </row>
    <row r="106" spans="2:10" ht="15" customHeight="1">
      <c r="B106" s="15" t="s">
        <v>247</v>
      </c>
      <c r="C106" s="18" t="s">
        <v>248</v>
      </c>
      <c r="D106" s="18" t="s">
        <v>13</v>
      </c>
      <c r="E106" s="18" t="s">
        <v>216</v>
      </c>
      <c r="F106" s="19">
        <v>2675544</v>
      </c>
      <c r="G106" s="20">
        <v>3855.99</v>
      </c>
      <c r="H106" s="21">
        <v>7.3511550989999999E-4</v>
      </c>
      <c r="I106" s="20" t="s">
        <v>13</v>
      </c>
      <c r="J106" s="16" t="s">
        <v>13</v>
      </c>
    </row>
    <row r="107" spans="2:10" ht="15" customHeight="1">
      <c r="B107" s="15" t="s">
        <v>249</v>
      </c>
      <c r="C107" s="18" t="s">
        <v>250</v>
      </c>
      <c r="D107" s="18" t="s">
        <v>13</v>
      </c>
      <c r="E107" s="18" t="s">
        <v>37</v>
      </c>
      <c r="F107" s="19">
        <v>2048331</v>
      </c>
      <c r="G107" s="20">
        <v>3736.36</v>
      </c>
      <c r="H107" s="21">
        <v>7.1230894960000002E-4</v>
      </c>
      <c r="I107" s="20" t="s">
        <v>13</v>
      </c>
      <c r="J107" s="16" t="s">
        <v>13</v>
      </c>
    </row>
    <row r="108" spans="2:10" ht="15" customHeight="1">
      <c r="B108" s="15" t="s">
        <v>251</v>
      </c>
      <c r="C108" s="18" t="s">
        <v>252</v>
      </c>
      <c r="D108" s="18" t="s">
        <v>13</v>
      </c>
      <c r="E108" s="18" t="s">
        <v>235</v>
      </c>
      <c r="F108" s="19">
        <v>113313</v>
      </c>
      <c r="G108" s="20">
        <v>3585.79</v>
      </c>
      <c r="H108" s="21">
        <v>6.8360391090000003E-4</v>
      </c>
      <c r="I108" s="20" t="s">
        <v>13</v>
      </c>
      <c r="J108" s="16" t="s">
        <v>13</v>
      </c>
    </row>
    <row r="109" spans="2:10" ht="15" customHeight="1">
      <c r="B109" s="15" t="s">
        <v>253</v>
      </c>
      <c r="C109" s="18" t="s">
        <v>254</v>
      </c>
      <c r="D109" s="18" t="s">
        <v>13</v>
      </c>
      <c r="E109" s="18" t="s">
        <v>95</v>
      </c>
      <c r="F109" s="19">
        <v>1240018</v>
      </c>
      <c r="G109" s="20">
        <v>3500.57</v>
      </c>
      <c r="H109" s="21">
        <v>6.6735735840000004E-4</v>
      </c>
      <c r="I109" s="20" t="s">
        <v>13</v>
      </c>
      <c r="J109" s="16" t="s">
        <v>13</v>
      </c>
    </row>
    <row r="110" spans="2:10" ht="15" customHeight="1">
      <c r="B110" s="15" t="s">
        <v>255</v>
      </c>
      <c r="C110" s="18" t="s">
        <v>256</v>
      </c>
      <c r="D110" s="18" t="s">
        <v>13</v>
      </c>
      <c r="E110" s="18" t="s">
        <v>92</v>
      </c>
      <c r="F110" s="19">
        <v>19544</v>
      </c>
      <c r="G110" s="20">
        <v>3459.68</v>
      </c>
      <c r="H110" s="21">
        <v>6.5956198730000002E-4</v>
      </c>
      <c r="I110" s="20" t="s">
        <v>13</v>
      </c>
      <c r="J110" s="16" t="s">
        <v>13</v>
      </c>
    </row>
    <row r="111" spans="2:10" ht="15" customHeight="1">
      <c r="B111" s="15" t="s">
        <v>257</v>
      </c>
      <c r="C111" s="18" t="s">
        <v>258</v>
      </c>
      <c r="D111" s="18" t="s">
        <v>13</v>
      </c>
      <c r="E111" s="18" t="s">
        <v>188</v>
      </c>
      <c r="F111" s="19">
        <v>1346282</v>
      </c>
      <c r="G111" s="20">
        <v>3279.54</v>
      </c>
      <c r="H111" s="21">
        <v>6.2521965030000004E-4</v>
      </c>
      <c r="I111" s="20" t="s">
        <v>13</v>
      </c>
      <c r="J111" s="16" t="s">
        <v>13</v>
      </c>
    </row>
    <row r="112" spans="2:10" ht="15" customHeight="1">
      <c r="B112" s="15" t="s">
        <v>259</v>
      </c>
      <c r="C112" s="18" t="s">
        <v>260</v>
      </c>
      <c r="D112" s="18" t="s">
        <v>13</v>
      </c>
      <c r="E112" s="18" t="s">
        <v>56</v>
      </c>
      <c r="F112" s="19">
        <v>2696526</v>
      </c>
      <c r="G112" s="20">
        <v>3267.92</v>
      </c>
      <c r="H112" s="21">
        <v>6.2300438459999999E-4</v>
      </c>
      <c r="I112" s="20" t="s">
        <v>13</v>
      </c>
      <c r="J112" s="16" t="s">
        <v>13</v>
      </c>
    </row>
    <row r="113" spans="2:10" ht="15" customHeight="1">
      <c r="B113" s="15" t="s">
        <v>261</v>
      </c>
      <c r="C113" s="18" t="s">
        <v>262</v>
      </c>
      <c r="D113" s="18" t="s">
        <v>13</v>
      </c>
      <c r="E113" s="18" t="s">
        <v>188</v>
      </c>
      <c r="F113" s="19">
        <v>253440</v>
      </c>
      <c r="G113" s="20">
        <v>3252.9</v>
      </c>
      <c r="H113" s="21">
        <v>6.2014093449999999E-4</v>
      </c>
      <c r="I113" s="20" t="s">
        <v>13</v>
      </c>
      <c r="J113" s="16" t="s">
        <v>13</v>
      </c>
    </row>
    <row r="114" spans="2:10" ht="15" customHeight="1">
      <c r="B114" s="15" t="s">
        <v>263</v>
      </c>
      <c r="C114" s="18" t="s">
        <v>264</v>
      </c>
      <c r="D114" s="18" t="s">
        <v>13</v>
      </c>
      <c r="E114" s="18" t="s">
        <v>69</v>
      </c>
      <c r="F114" s="19">
        <v>837000</v>
      </c>
      <c r="G114" s="20">
        <v>3102.34</v>
      </c>
      <c r="H114" s="21">
        <v>5.914378022E-4</v>
      </c>
      <c r="I114" s="20" t="s">
        <v>13</v>
      </c>
      <c r="J114" s="16" t="s">
        <v>13</v>
      </c>
    </row>
    <row r="115" spans="2:10" ht="15" customHeight="1">
      <c r="B115" s="15" t="s">
        <v>265</v>
      </c>
      <c r="C115" s="18" t="s">
        <v>266</v>
      </c>
      <c r="D115" s="18" t="s">
        <v>13</v>
      </c>
      <c r="E115" s="18" t="s">
        <v>188</v>
      </c>
      <c r="F115" s="19">
        <v>812620</v>
      </c>
      <c r="G115" s="20">
        <v>2770.63</v>
      </c>
      <c r="H115" s="21">
        <v>5.2819978400000004E-4</v>
      </c>
      <c r="I115" s="20" t="s">
        <v>13</v>
      </c>
      <c r="J115" s="16" t="s">
        <v>13</v>
      </c>
    </row>
    <row r="116" spans="2:10" ht="15" customHeight="1">
      <c r="B116" s="15" t="s">
        <v>267</v>
      </c>
      <c r="C116" s="18" t="s">
        <v>268</v>
      </c>
      <c r="D116" s="18" t="s">
        <v>13</v>
      </c>
      <c r="E116" s="18" t="s">
        <v>31</v>
      </c>
      <c r="F116" s="19">
        <v>2866502</v>
      </c>
      <c r="G116" s="20">
        <v>2199.1799999999998</v>
      </c>
      <c r="H116" s="21">
        <v>4.1925713680000001E-4</v>
      </c>
      <c r="I116" s="20" t="s">
        <v>13</v>
      </c>
      <c r="J116" s="16" t="s">
        <v>13</v>
      </c>
    </row>
    <row r="117" spans="2:10" ht="15" customHeight="1">
      <c r="B117" s="15" t="s">
        <v>269</v>
      </c>
      <c r="C117" s="18" t="s">
        <v>270</v>
      </c>
      <c r="D117" s="18" t="s">
        <v>13</v>
      </c>
      <c r="E117" s="18" t="s">
        <v>147</v>
      </c>
      <c r="F117" s="19">
        <v>432619</v>
      </c>
      <c r="G117" s="20">
        <v>1592.47</v>
      </c>
      <c r="H117" s="21">
        <v>3.0359243560000002E-4</v>
      </c>
      <c r="I117" s="20" t="s">
        <v>13</v>
      </c>
      <c r="J117" s="16" t="s">
        <v>13</v>
      </c>
    </row>
    <row r="118" spans="2:10" ht="15" customHeight="1">
      <c r="B118" s="15" t="s">
        <v>271</v>
      </c>
      <c r="C118" s="18" t="s">
        <v>272</v>
      </c>
      <c r="D118" s="18" t="s">
        <v>13</v>
      </c>
      <c r="E118" s="18" t="s">
        <v>82</v>
      </c>
      <c r="F118" s="19">
        <v>227139</v>
      </c>
      <c r="G118" s="20">
        <v>1484.47</v>
      </c>
      <c r="H118" s="21">
        <v>2.8300304739999998E-4</v>
      </c>
      <c r="I118" s="20" t="s">
        <v>13</v>
      </c>
      <c r="J118" s="16" t="s">
        <v>13</v>
      </c>
    </row>
    <row r="119" spans="2:10" ht="15" customHeight="1">
      <c r="B119" s="15" t="s">
        <v>273</v>
      </c>
      <c r="C119" s="18" t="s">
        <v>274</v>
      </c>
      <c r="D119" s="18" t="s">
        <v>13</v>
      </c>
      <c r="E119" s="18" t="s">
        <v>167</v>
      </c>
      <c r="F119" s="19">
        <v>133237</v>
      </c>
      <c r="G119" s="20">
        <v>1388.93</v>
      </c>
      <c r="H119" s="21">
        <v>2.6478906460000002E-4</v>
      </c>
      <c r="I119" s="20" t="s">
        <v>13</v>
      </c>
      <c r="J119" s="16" t="s">
        <v>13</v>
      </c>
    </row>
    <row r="120" spans="2:10" ht="15" customHeight="1">
      <c r="B120" s="15" t="s">
        <v>275</v>
      </c>
      <c r="C120" s="18" t="s">
        <v>276</v>
      </c>
      <c r="D120" s="18" t="s">
        <v>13</v>
      </c>
      <c r="E120" s="18" t="s">
        <v>31</v>
      </c>
      <c r="F120" s="19">
        <v>368146</v>
      </c>
      <c r="G120" s="20">
        <v>1277.47</v>
      </c>
      <c r="H120" s="21">
        <v>2.4354005330000001E-4</v>
      </c>
      <c r="I120" s="20" t="s">
        <v>13</v>
      </c>
      <c r="J120" s="16" t="s">
        <v>13</v>
      </c>
    </row>
    <row r="121" spans="2:10" ht="15" customHeight="1">
      <c r="B121" s="15" t="s">
        <v>277</v>
      </c>
      <c r="C121" s="18" t="s">
        <v>278</v>
      </c>
      <c r="D121" s="18" t="s">
        <v>13</v>
      </c>
      <c r="E121" s="18" t="s">
        <v>279</v>
      </c>
      <c r="F121" s="19">
        <v>606523</v>
      </c>
      <c r="G121" s="20">
        <v>909.78</v>
      </c>
      <c r="H121" s="21">
        <v>1.734427186E-4</v>
      </c>
      <c r="I121" s="20" t="s">
        <v>13</v>
      </c>
      <c r="J121" s="16" t="s">
        <v>13</v>
      </c>
    </row>
    <row r="122" spans="2:10" ht="15" customHeight="1">
      <c r="B122" s="15" t="s">
        <v>280</v>
      </c>
      <c r="C122" s="18" t="s">
        <v>281</v>
      </c>
      <c r="D122" s="18" t="s">
        <v>13</v>
      </c>
      <c r="E122" s="18" t="s">
        <v>282</v>
      </c>
      <c r="F122" s="19">
        <v>746728</v>
      </c>
      <c r="G122" s="20">
        <v>456.1</v>
      </c>
      <c r="H122" s="21">
        <v>8.6952036700000003E-5</v>
      </c>
      <c r="I122" s="20" t="s">
        <v>13</v>
      </c>
      <c r="J122" s="16" t="s">
        <v>13</v>
      </c>
    </row>
    <row r="123" spans="2:10" ht="15" customHeight="1">
      <c r="B123" s="15" t="s">
        <v>283</v>
      </c>
      <c r="C123" s="18" t="s">
        <v>284</v>
      </c>
      <c r="D123" s="18" t="s">
        <v>13</v>
      </c>
      <c r="E123" s="18" t="s">
        <v>82</v>
      </c>
      <c r="F123" s="19">
        <v>119898</v>
      </c>
      <c r="G123" s="20">
        <v>454.23</v>
      </c>
      <c r="H123" s="21">
        <v>8.6595535199999993E-5</v>
      </c>
      <c r="I123" s="20" t="s">
        <v>13</v>
      </c>
      <c r="J123" s="16" t="s">
        <v>13</v>
      </c>
    </row>
    <row r="124" spans="2:10" ht="15" customHeight="1">
      <c r="B124" s="15" t="s">
        <v>285</v>
      </c>
      <c r="C124" s="18" t="s">
        <v>286</v>
      </c>
      <c r="D124" s="18" t="s">
        <v>13</v>
      </c>
      <c r="E124" s="18" t="s">
        <v>37</v>
      </c>
      <c r="F124" s="19">
        <v>45974</v>
      </c>
      <c r="G124" s="20">
        <v>389.61</v>
      </c>
      <c r="H124" s="21">
        <v>7.4276217899999996E-5</v>
      </c>
      <c r="I124" s="20" t="s">
        <v>13</v>
      </c>
      <c r="J124" s="16" t="s">
        <v>13</v>
      </c>
    </row>
    <row r="125" spans="2:10" ht="15" customHeight="1">
      <c r="B125" s="15" t="s">
        <v>287</v>
      </c>
      <c r="C125" s="18" t="s">
        <v>288</v>
      </c>
      <c r="D125" s="18" t="s">
        <v>13</v>
      </c>
      <c r="E125" s="18" t="s">
        <v>128</v>
      </c>
      <c r="F125" s="19">
        <v>338</v>
      </c>
      <c r="G125" s="20">
        <v>2.1800000000000002</v>
      </c>
      <c r="H125" s="22" t="s">
        <v>289</v>
      </c>
      <c r="I125" s="20" t="s">
        <v>13</v>
      </c>
      <c r="J125" s="16" t="s">
        <v>13</v>
      </c>
    </row>
    <row r="126" spans="2:10" ht="15" customHeight="1">
      <c r="B126" s="15" t="s">
        <v>290</v>
      </c>
      <c r="C126" s="18"/>
      <c r="D126" s="18" t="s">
        <v>13</v>
      </c>
      <c r="E126" s="18" t="s">
        <v>31</v>
      </c>
      <c r="F126" s="19">
        <v>-2250000</v>
      </c>
      <c r="G126" s="20">
        <v>-40.5</v>
      </c>
      <c r="H126" s="22" t="s">
        <v>289</v>
      </c>
      <c r="I126" s="20" t="s">
        <v>13</v>
      </c>
      <c r="J126" s="16" t="s">
        <v>13</v>
      </c>
    </row>
    <row r="127" spans="2:10" ht="15" customHeight="1">
      <c r="B127" s="15" t="s">
        <v>291</v>
      </c>
      <c r="C127" s="18"/>
      <c r="D127" s="18" t="s">
        <v>13</v>
      </c>
      <c r="E127" s="18" t="s">
        <v>133</v>
      </c>
      <c r="F127" s="19">
        <v>-308750</v>
      </c>
      <c r="G127" s="20">
        <v>-43.23</v>
      </c>
      <c r="H127" s="22" t="s">
        <v>289</v>
      </c>
      <c r="I127" s="20" t="s">
        <v>13</v>
      </c>
      <c r="J127" s="16" t="s">
        <v>13</v>
      </c>
    </row>
    <row r="128" spans="2:10" ht="15" customHeight="1">
      <c r="B128" s="15" t="s">
        <v>292</v>
      </c>
      <c r="C128" s="18"/>
      <c r="D128" s="18" t="s">
        <v>13</v>
      </c>
      <c r="E128" s="18" t="s">
        <v>42</v>
      </c>
      <c r="F128" s="19">
        <v>-123750</v>
      </c>
      <c r="G128" s="20">
        <v>-75.55</v>
      </c>
      <c r="H128" s="22" t="s">
        <v>289</v>
      </c>
      <c r="I128" s="20" t="s">
        <v>13</v>
      </c>
      <c r="J128" s="16" t="s">
        <v>13</v>
      </c>
    </row>
    <row r="129" spans="2:10" ht="15" customHeight="1">
      <c r="B129" s="15" t="s">
        <v>293</v>
      </c>
      <c r="C129" s="18"/>
      <c r="D129" s="18" t="s">
        <v>13</v>
      </c>
      <c r="E129" s="18" t="s">
        <v>45</v>
      </c>
      <c r="F129" s="19">
        <v>-3965775</v>
      </c>
      <c r="G129" s="20">
        <v>-81.3</v>
      </c>
      <c r="H129" s="22" t="s">
        <v>289</v>
      </c>
      <c r="I129" s="20" t="s">
        <v>13</v>
      </c>
      <c r="J129" s="16" t="s">
        <v>13</v>
      </c>
    </row>
    <row r="130" spans="2:10" ht="15" customHeight="1">
      <c r="B130" s="15" t="s">
        <v>294</v>
      </c>
      <c r="C130" s="18"/>
      <c r="D130" s="18" t="s">
        <v>13</v>
      </c>
      <c r="E130" s="18" t="s">
        <v>85</v>
      </c>
      <c r="F130" s="19">
        <v>-4410000</v>
      </c>
      <c r="G130" s="20">
        <v>-113.34</v>
      </c>
      <c r="H130" s="22" t="s">
        <v>289</v>
      </c>
      <c r="I130" s="20" t="s">
        <v>13</v>
      </c>
      <c r="J130" s="16" t="s">
        <v>13</v>
      </c>
    </row>
    <row r="131" spans="2:10" ht="15" customHeight="1">
      <c r="B131" s="15" t="s">
        <v>295</v>
      </c>
      <c r="C131" s="18"/>
      <c r="D131" s="18" t="s">
        <v>13</v>
      </c>
      <c r="E131" s="18" t="s">
        <v>25</v>
      </c>
      <c r="F131" s="19">
        <v>-490000</v>
      </c>
      <c r="G131" s="20">
        <v>-133.04</v>
      </c>
      <c r="H131" s="22" t="s">
        <v>289</v>
      </c>
      <c r="I131" s="20" t="s">
        <v>13</v>
      </c>
      <c r="J131" s="16" t="s">
        <v>13</v>
      </c>
    </row>
    <row r="132" spans="2:10" ht="15" customHeight="1">
      <c r="B132" s="15" t="s">
        <v>296</v>
      </c>
      <c r="C132" s="18"/>
      <c r="D132" s="18" t="s">
        <v>13</v>
      </c>
      <c r="E132" s="18" t="s">
        <v>56</v>
      </c>
      <c r="F132" s="19">
        <v>-269500</v>
      </c>
      <c r="G132" s="20">
        <v>-137.85</v>
      </c>
      <c r="H132" s="22" t="s">
        <v>289</v>
      </c>
      <c r="I132" s="20" t="s">
        <v>13</v>
      </c>
      <c r="J132" s="16" t="s">
        <v>13</v>
      </c>
    </row>
    <row r="133" spans="2:10" ht="15" customHeight="1">
      <c r="B133" s="15" t="s">
        <v>297</v>
      </c>
      <c r="C133" s="18"/>
      <c r="D133" s="18" t="s">
        <v>13</v>
      </c>
      <c r="E133" s="18" t="s">
        <v>17</v>
      </c>
      <c r="F133" s="19">
        <v>-2234000</v>
      </c>
      <c r="G133" s="20">
        <v>-138.51</v>
      </c>
      <c r="H133" s="22" t="s">
        <v>289</v>
      </c>
      <c r="I133" s="20" t="s">
        <v>13</v>
      </c>
      <c r="J133" s="16" t="s">
        <v>13</v>
      </c>
    </row>
    <row r="134" spans="2:10" ht="15" customHeight="1">
      <c r="B134" s="15" t="s">
        <v>298</v>
      </c>
      <c r="C134" s="18"/>
      <c r="D134" s="18" t="s">
        <v>13</v>
      </c>
      <c r="E134" s="18" t="s">
        <v>69</v>
      </c>
      <c r="F134" s="19">
        <v>-100450</v>
      </c>
      <c r="G134" s="20">
        <v>-138.52000000000001</v>
      </c>
      <c r="H134" s="22" t="s">
        <v>289</v>
      </c>
      <c r="I134" s="20" t="s">
        <v>13</v>
      </c>
      <c r="J134" s="16" t="s">
        <v>13</v>
      </c>
    </row>
    <row r="135" spans="2:10" ht="15" customHeight="1">
      <c r="B135" s="15" t="s">
        <v>299</v>
      </c>
      <c r="C135" s="18"/>
      <c r="D135" s="18" t="s">
        <v>13</v>
      </c>
      <c r="E135" s="18" t="s">
        <v>53</v>
      </c>
      <c r="F135" s="19">
        <v>-832500</v>
      </c>
      <c r="G135" s="20">
        <v>-474.11</v>
      </c>
      <c r="H135" s="21">
        <v>-9.0385507800000003E-5</v>
      </c>
      <c r="I135" s="20" t="s">
        <v>13</v>
      </c>
      <c r="J135" s="16" t="s">
        <v>13</v>
      </c>
    </row>
    <row r="136" spans="2:10" ht="15" customHeight="1">
      <c r="B136" s="15"/>
      <c r="C136" s="18"/>
      <c r="D136" s="18"/>
      <c r="E136" s="18"/>
      <c r="F136" s="19"/>
      <c r="G136" s="20"/>
      <c r="H136" s="21"/>
      <c r="I136" s="20"/>
      <c r="J136" s="16"/>
    </row>
    <row r="137" spans="2:10" ht="15" customHeight="1">
      <c r="B137" s="10" t="s">
        <v>300</v>
      </c>
      <c r="C137" s="11" t="s">
        <v>13</v>
      </c>
      <c r="D137" s="12" t="s">
        <v>13</v>
      </c>
      <c r="E137" s="11" t="s">
        <v>13</v>
      </c>
      <c r="F137" s="12" t="s">
        <v>13</v>
      </c>
      <c r="G137" s="12">
        <v>97331.99</v>
      </c>
      <c r="H137" s="17">
        <v>1.85556122971E-2</v>
      </c>
      <c r="I137" s="12" t="s">
        <v>13</v>
      </c>
      <c r="J137" s="16" t="s">
        <v>13</v>
      </c>
    </row>
    <row r="138" spans="2:10" ht="15" customHeight="1">
      <c r="B138" s="15" t="s">
        <v>301</v>
      </c>
      <c r="C138" s="18" t="s">
        <v>302</v>
      </c>
      <c r="D138" s="18" t="s">
        <v>13</v>
      </c>
      <c r="E138" s="18" t="s">
        <v>300</v>
      </c>
      <c r="F138" s="19">
        <v>12773446</v>
      </c>
      <c r="G138" s="20">
        <v>56009.01</v>
      </c>
      <c r="H138" s="21">
        <v>1.06776967646E-2</v>
      </c>
      <c r="I138" s="20" t="s">
        <v>13</v>
      </c>
      <c r="J138" s="16" t="s">
        <v>13</v>
      </c>
    </row>
    <row r="139" spans="2:10" ht="15" customHeight="1">
      <c r="B139" s="15" t="s">
        <v>303</v>
      </c>
      <c r="C139" s="18" t="s">
        <v>304</v>
      </c>
      <c r="D139" s="18" t="s">
        <v>13</v>
      </c>
      <c r="E139" s="18" t="s">
        <v>300</v>
      </c>
      <c r="F139" s="19">
        <v>5714170</v>
      </c>
      <c r="G139" s="20">
        <v>28333.71</v>
      </c>
      <c r="H139" s="21">
        <v>5.4016088410000001E-3</v>
      </c>
      <c r="I139" s="20" t="s">
        <v>13</v>
      </c>
      <c r="J139" s="16" t="s">
        <v>13</v>
      </c>
    </row>
    <row r="140" spans="2:10" ht="15" customHeight="1">
      <c r="B140" s="15" t="s">
        <v>305</v>
      </c>
      <c r="C140" s="18" t="s">
        <v>306</v>
      </c>
      <c r="D140" s="18" t="s">
        <v>13</v>
      </c>
      <c r="E140" s="18" t="s">
        <v>300</v>
      </c>
      <c r="F140" s="19">
        <v>2868990</v>
      </c>
      <c r="G140" s="20">
        <v>9803.6299999999992</v>
      </c>
      <c r="H140" s="21">
        <v>1.8689883704E-3</v>
      </c>
      <c r="I140" s="20" t="s">
        <v>13</v>
      </c>
      <c r="J140" s="16" t="s">
        <v>13</v>
      </c>
    </row>
    <row r="141" spans="2:10" ht="15" customHeight="1">
      <c r="B141" s="15" t="s">
        <v>307</v>
      </c>
      <c r="C141" s="18" t="s">
        <v>308</v>
      </c>
      <c r="D141" s="18" t="s">
        <v>13</v>
      </c>
      <c r="E141" s="18" t="s">
        <v>300</v>
      </c>
      <c r="F141" s="19">
        <v>1898587</v>
      </c>
      <c r="G141" s="20">
        <v>3185.64</v>
      </c>
      <c r="H141" s="21">
        <v>6.0731832110000003E-4</v>
      </c>
      <c r="I141" s="20" t="s">
        <v>13</v>
      </c>
      <c r="J141" s="16" t="s">
        <v>13</v>
      </c>
    </row>
    <row r="142" spans="2:10" ht="15" customHeight="1">
      <c r="B142" s="15" t="s">
        <v>13</v>
      </c>
      <c r="J142" s="16" t="s">
        <v>13</v>
      </c>
    </row>
    <row r="143" spans="2:10" ht="15" customHeight="1">
      <c r="B143" s="10" t="s">
        <v>309</v>
      </c>
      <c r="C143" s="11" t="s">
        <v>13</v>
      </c>
      <c r="D143" s="12" t="s">
        <v>13</v>
      </c>
      <c r="E143" s="11" t="s">
        <v>13</v>
      </c>
      <c r="F143" s="12" t="s">
        <v>13</v>
      </c>
      <c r="G143" s="12">
        <v>33314.81</v>
      </c>
      <c r="H143" s="17">
        <v>6.3512181155999997E-3</v>
      </c>
      <c r="I143" s="12" t="s">
        <v>13</v>
      </c>
      <c r="J143" s="16" t="s">
        <v>13</v>
      </c>
    </row>
    <row r="144" spans="2:10" ht="15" customHeight="1">
      <c r="B144" s="15" t="s">
        <v>310</v>
      </c>
      <c r="C144" s="18" t="s">
        <v>311</v>
      </c>
      <c r="D144" s="23">
        <v>6.5</v>
      </c>
      <c r="E144" s="18" t="s">
        <v>82</v>
      </c>
      <c r="F144" s="19">
        <v>29743</v>
      </c>
      <c r="G144" s="20">
        <v>33314.81</v>
      </c>
      <c r="H144" s="21">
        <v>6.3512181155999997E-3</v>
      </c>
      <c r="I144" s="20">
        <v>7.85</v>
      </c>
      <c r="J144" s="16" t="s">
        <v>13</v>
      </c>
    </row>
    <row r="145" spans="2:14" ht="15" customHeight="1">
      <c r="B145" s="15" t="s">
        <v>13</v>
      </c>
      <c r="J145" s="16" t="s">
        <v>13</v>
      </c>
    </row>
    <row r="146" spans="2:14" ht="15" customHeight="1">
      <c r="B146" s="10" t="s">
        <v>312</v>
      </c>
      <c r="C146" s="11" t="s">
        <v>13</v>
      </c>
      <c r="D146" s="12" t="s">
        <v>13</v>
      </c>
      <c r="E146" s="11" t="s">
        <v>13</v>
      </c>
      <c r="F146" s="12" t="s">
        <v>13</v>
      </c>
      <c r="G146" s="12" t="s">
        <v>313</v>
      </c>
      <c r="H146" s="17" t="s">
        <v>313</v>
      </c>
      <c r="I146" s="12" t="s">
        <v>13</v>
      </c>
      <c r="J146" s="16" t="s">
        <v>13</v>
      </c>
    </row>
    <row r="147" spans="2:14" ht="15" customHeight="1">
      <c r="B147" s="15" t="s">
        <v>13</v>
      </c>
      <c r="J147" s="16" t="s">
        <v>13</v>
      </c>
    </row>
    <row r="148" spans="2:14" ht="15" customHeight="1">
      <c r="B148" s="10" t="s">
        <v>314</v>
      </c>
      <c r="C148" s="11" t="s">
        <v>13</v>
      </c>
      <c r="D148" s="12" t="s">
        <v>13</v>
      </c>
      <c r="E148" s="11" t="s">
        <v>13</v>
      </c>
      <c r="F148" s="12" t="s">
        <v>13</v>
      </c>
      <c r="G148" s="12">
        <v>890074.47000000032</v>
      </c>
      <c r="H148" s="17">
        <v>0.16968600745390003</v>
      </c>
      <c r="I148" s="12" t="s">
        <v>13</v>
      </c>
      <c r="J148" s="16" t="s">
        <v>13</v>
      </c>
      <c r="K148" s="12"/>
      <c r="L148" s="17"/>
      <c r="M148" s="24"/>
      <c r="N148" s="25"/>
    </row>
    <row r="149" spans="2:14" ht="15" customHeight="1">
      <c r="B149" s="15" t="s">
        <v>13</v>
      </c>
      <c r="J149" s="16" t="s">
        <v>13</v>
      </c>
    </row>
    <row r="150" spans="2:14" ht="15" customHeight="1">
      <c r="B150" s="10" t="s">
        <v>14</v>
      </c>
      <c r="C150" s="11" t="s">
        <v>13</v>
      </c>
      <c r="D150" s="12" t="s">
        <v>13</v>
      </c>
      <c r="E150" s="11" t="s">
        <v>13</v>
      </c>
      <c r="F150" s="12" t="s">
        <v>13</v>
      </c>
      <c r="G150" s="12">
        <v>841829.78000000038</v>
      </c>
      <c r="H150" s="17">
        <v>0.16048851993710006</v>
      </c>
      <c r="I150" s="12" t="s">
        <v>13</v>
      </c>
      <c r="J150" s="16" t="s">
        <v>13</v>
      </c>
    </row>
    <row r="151" spans="2:14" ht="15" customHeight="1">
      <c r="B151" s="15" t="s">
        <v>13</v>
      </c>
      <c r="J151" s="16" t="s">
        <v>13</v>
      </c>
    </row>
    <row r="152" spans="2:14" ht="15" customHeight="1">
      <c r="B152" s="10" t="s">
        <v>315</v>
      </c>
      <c r="C152" s="11" t="s">
        <v>13</v>
      </c>
      <c r="D152" s="12" t="s">
        <v>13</v>
      </c>
      <c r="E152" s="11" t="s">
        <v>13</v>
      </c>
      <c r="F152" s="12" t="s">
        <v>13</v>
      </c>
      <c r="G152" s="12">
        <v>363644.74</v>
      </c>
      <c r="H152" s="17">
        <v>6.9326136342399952E-2</v>
      </c>
      <c r="I152" s="12" t="s">
        <v>13</v>
      </c>
      <c r="J152" s="16" t="s">
        <v>13</v>
      </c>
    </row>
    <row r="153" spans="2:14" ht="15" customHeight="1">
      <c r="B153" s="15" t="s">
        <v>315</v>
      </c>
      <c r="C153" s="18" t="s">
        <v>316</v>
      </c>
      <c r="D153" s="23">
        <v>6.9</v>
      </c>
      <c r="E153" s="18" t="s">
        <v>317</v>
      </c>
      <c r="F153" s="19">
        <v>65000000</v>
      </c>
      <c r="G153" s="20">
        <v>59007.33</v>
      </c>
      <c r="H153" s="21">
        <v>1.1249303935700001E-2</v>
      </c>
      <c r="I153" s="20">
        <v>7.79</v>
      </c>
      <c r="J153" s="16" t="s">
        <v>13</v>
      </c>
    </row>
    <row r="154" spans="2:14" ht="15" customHeight="1">
      <c r="B154" s="15" t="s">
        <v>315</v>
      </c>
      <c r="C154" s="18" t="s">
        <v>318</v>
      </c>
      <c r="D154" s="23">
        <v>7.24</v>
      </c>
      <c r="E154" s="18" t="s">
        <v>317</v>
      </c>
      <c r="F154" s="19">
        <v>46486200</v>
      </c>
      <c r="G154" s="20">
        <v>44752.17</v>
      </c>
      <c r="H154" s="21">
        <v>8.5316648305999998E-3</v>
      </c>
      <c r="I154" s="20">
        <v>7.7</v>
      </c>
      <c r="J154" s="16" t="s">
        <v>13</v>
      </c>
    </row>
    <row r="155" spans="2:14" ht="15" customHeight="1">
      <c r="B155" s="15" t="s">
        <v>319</v>
      </c>
      <c r="C155" s="18" t="s">
        <v>320</v>
      </c>
      <c r="D155" s="23">
        <v>7.57</v>
      </c>
      <c r="E155" s="18" t="s">
        <v>317</v>
      </c>
      <c r="F155" s="19">
        <v>19660700</v>
      </c>
      <c r="G155" s="20">
        <v>19374.2</v>
      </c>
      <c r="H155" s="21">
        <v>3.6935456037E-3</v>
      </c>
      <c r="I155" s="20">
        <v>7.87</v>
      </c>
      <c r="J155" s="16" t="s">
        <v>13</v>
      </c>
    </row>
    <row r="156" spans="2:14" ht="15" customHeight="1">
      <c r="B156" s="15" t="s">
        <v>321</v>
      </c>
      <c r="C156" s="18" t="s">
        <v>322</v>
      </c>
      <c r="D156" s="23">
        <v>7.57</v>
      </c>
      <c r="E156" s="18" t="s">
        <v>317</v>
      </c>
      <c r="F156" s="19">
        <v>19367000</v>
      </c>
      <c r="G156" s="20">
        <v>19072.580000000002</v>
      </c>
      <c r="H156" s="21">
        <v>3.6360440178999998E-3</v>
      </c>
      <c r="I156" s="20">
        <v>7.88</v>
      </c>
      <c r="J156" s="16" t="s">
        <v>13</v>
      </c>
    </row>
    <row r="157" spans="2:14" ht="15" customHeight="1">
      <c r="B157" s="15" t="s">
        <v>315</v>
      </c>
      <c r="C157" s="18" t="s">
        <v>323</v>
      </c>
      <c r="D157" s="23">
        <v>6.94</v>
      </c>
      <c r="E157" s="18" t="s">
        <v>317</v>
      </c>
      <c r="F157" s="19">
        <v>18183800</v>
      </c>
      <c r="G157" s="20">
        <v>18168.2</v>
      </c>
      <c r="H157" s="21">
        <v>3.4636307686000001E-3</v>
      </c>
      <c r="I157" s="20">
        <v>7.07</v>
      </c>
      <c r="J157" s="16" t="s">
        <v>13</v>
      </c>
    </row>
    <row r="158" spans="2:14" ht="15" customHeight="1">
      <c r="B158" s="15" t="s">
        <v>319</v>
      </c>
      <c r="C158" s="18" t="s">
        <v>324</v>
      </c>
      <c r="D158" s="23">
        <v>7.57</v>
      </c>
      <c r="E158" s="18" t="s">
        <v>317</v>
      </c>
      <c r="F158" s="19">
        <v>16654600</v>
      </c>
      <c r="G158" s="20">
        <v>16414.14</v>
      </c>
      <c r="H158" s="21">
        <v>3.1292324140000001E-3</v>
      </c>
      <c r="I158" s="20">
        <v>7.87</v>
      </c>
      <c r="J158" s="16" t="s">
        <v>13</v>
      </c>
    </row>
    <row r="159" spans="2:14" ht="15" customHeight="1">
      <c r="B159" s="15" t="s">
        <v>321</v>
      </c>
      <c r="C159" s="18" t="s">
        <v>325</v>
      </c>
      <c r="D159" s="23">
        <v>7.46</v>
      </c>
      <c r="E159" s="18" t="s">
        <v>317</v>
      </c>
      <c r="F159" s="19">
        <v>15000000</v>
      </c>
      <c r="G159" s="20">
        <v>14712.83</v>
      </c>
      <c r="H159" s="21">
        <v>2.8048904503999998E-3</v>
      </c>
      <c r="I159" s="20">
        <v>7.85</v>
      </c>
      <c r="J159" s="16" t="s">
        <v>13</v>
      </c>
    </row>
    <row r="160" spans="2:14" ht="15" customHeight="1">
      <c r="B160" s="15" t="s">
        <v>326</v>
      </c>
      <c r="C160" s="18" t="s">
        <v>327</v>
      </c>
      <c r="D160" s="23">
        <v>7.24</v>
      </c>
      <c r="E160" s="18" t="s">
        <v>317</v>
      </c>
      <c r="F160" s="19">
        <v>12500000</v>
      </c>
      <c r="G160" s="20">
        <v>12321.5</v>
      </c>
      <c r="H160" s="21">
        <v>2.3490013604000001E-3</v>
      </c>
      <c r="I160" s="20">
        <v>7.62</v>
      </c>
      <c r="J160" s="16" t="s">
        <v>13</v>
      </c>
    </row>
    <row r="161" spans="2:10" ht="15" customHeight="1">
      <c r="B161" s="15" t="s">
        <v>321</v>
      </c>
      <c r="C161" s="18" t="s">
        <v>328</v>
      </c>
      <c r="D161" s="23">
        <v>7.54</v>
      </c>
      <c r="E161" s="18" t="s">
        <v>317</v>
      </c>
      <c r="F161" s="19">
        <v>11648500</v>
      </c>
      <c r="G161" s="20">
        <v>11582.49</v>
      </c>
      <c r="H161" s="21">
        <v>2.2081146585999998E-3</v>
      </c>
      <c r="I161" s="20">
        <v>7.77</v>
      </c>
      <c r="J161" s="16" t="s">
        <v>13</v>
      </c>
    </row>
    <row r="162" spans="2:10" ht="15" customHeight="1">
      <c r="B162" s="15" t="s">
        <v>329</v>
      </c>
      <c r="C162" s="18" t="s">
        <v>330</v>
      </c>
      <c r="D162" s="23">
        <v>7.56</v>
      </c>
      <c r="E162" s="18" t="s">
        <v>317</v>
      </c>
      <c r="F162" s="19">
        <v>10000000</v>
      </c>
      <c r="G162" s="20">
        <v>9852.2000000000007</v>
      </c>
      <c r="H162" s="21">
        <v>1.8782478759000001E-3</v>
      </c>
      <c r="I162" s="20">
        <v>7.88</v>
      </c>
      <c r="J162" s="16" t="s">
        <v>13</v>
      </c>
    </row>
    <row r="163" spans="2:10" ht="15" customHeight="1">
      <c r="B163" s="15" t="s">
        <v>321</v>
      </c>
      <c r="C163" s="18" t="s">
        <v>331</v>
      </c>
      <c r="D163" s="23">
        <v>7.56</v>
      </c>
      <c r="E163" s="18" t="s">
        <v>317</v>
      </c>
      <c r="F163" s="19">
        <v>10000000</v>
      </c>
      <c r="G163" s="20">
        <v>9850.89</v>
      </c>
      <c r="H163" s="21">
        <v>1.8779981341999999E-3</v>
      </c>
      <c r="I163" s="20">
        <v>7.88</v>
      </c>
      <c r="J163" s="16" t="s">
        <v>13</v>
      </c>
    </row>
    <row r="164" spans="2:10" ht="15" customHeight="1">
      <c r="B164" s="15" t="s">
        <v>332</v>
      </c>
      <c r="C164" s="18" t="s">
        <v>333</v>
      </c>
      <c r="D164" s="23">
        <v>7.26</v>
      </c>
      <c r="E164" s="18" t="s">
        <v>317</v>
      </c>
      <c r="F164" s="19">
        <v>10000000</v>
      </c>
      <c r="G164" s="20">
        <v>9791.92</v>
      </c>
      <c r="H164" s="21">
        <v>1.866755947E-3</v>
      </c>
      <c r="I164" s="20">
        <v>7.72</v>
      </c>
      <c r="J164" s="16" t="s">
        <v>13</v>
      </c>
    </row>
    <row r="165" spans="2:10" ht="15" customHeight="1">
      <c r="B165" s="15" t="s">
        <v>319</v>
      </c>
      <c r="C165" s="18" t="s">
        <v>334</v>
      </c>
      <c r="D165" s="23">
        <v>7.51</v>
      </c>
      <c r="E165" s="18" t="s">
        <v>317</v>
      </c>
      <c r="F165" s="19">
        <v>10000000</v>
      </c>
      <c r="G165" s="20">
        <v>9774.2999999999993</v>
      </c>
      <c r="H165" s="21">
        <v>1.8633968264000001E-3</v>
      </c>
      <c r="I165" s="20">
        <v>7.87</v>
      </c>
      <c r="J165" s="16" t="s">
        <v>13</v>
      </c>
    </row>
    <row r="166" spans="2:10" ht="15" customHeight="1">
      <c r="B166" s="15" t="s">
        <v>335</v>
      </c>
      <c r="C166" s="18" t="s">
        <v>336</v>
      </c>
      <c r="D166" s="23">
        <v>7.24</v>
      </c>
      <c r="E166" s="18" t="s">
        <v>317</v>
      </c>
      <c r="F166" s="19">
        <v>10000000</v>
      </c>
      <c r="G166" s="20">
        <v>9694.32</v>
      </c>
      <c r="H166" s="21">
        <v>1.8481492406000001E-3</v>
      </c>
      <c r="I166" s="20">
        <v>7.82</v>
      </c>
      <c r="J166" s="16" t="s">
        <v>13</v>
      </c>
    </row>
    <row r="167" spans="2:10" ht="15" customHeight="1">
      <c r="B167" s="15" t="s">
        <v>337</v>
      </c>
      <c r="C167" s="18" t="s">
        <v>338</v>
      </c>
      <c r="D167" s="23">
        <v>7.76</v>
      </c>
      <c r="E167" s="18" t="s">
        <v>317</v>
      </c>
      <c r="F167" s="19">
        <v>8811200</v>
      </c>
      <c r="G167" s="20">
        <v>8848.43</v>
      </c>
      <c r="H167" s="21">
        <v>1.6868866702E-3</v>
      </c>
      <c r="I167" s="20">
        <v>7.85</v>
      </c>
      <c r="J167" s="16" t="s">
        <v>13</v>
      </c>
    </row>
    <row r="168" spans="2:10" ht="15" customHeight="1">
      <c r="B168" s="15" t="s">
        <v>339</v>
      </c>
      <c r="C168" s="18" t="s">
        <v>340</v>
      </c>
      <c r="D168" s="23">
        <v>7.5</v>
      </c>
      <c r="E168" s="18" t="s">
        <v>317</v>
      </c>
      <c r="F168" s="19">
        <v>9047600</v>
      </c>
      <c r="G168" s="20">
        <v>8827.81</v>
      </c>
      <c r="H168" s="21">
        <v>1.6829556221999999E-3</v>
      </c>
      <c r="I168" s="20">
        <v>7.89</v>
      </c>
      <c r="J168" s="16" t="s">
        <v>13</v>
      </c>
    </row>
    <row r="169" spans="2:10" ht="15" customHeight="1">
      <c r="B169" s="15" t="s">
        <v>339</v>
      </c>
      <c r="C169" s="18" t="s">
        <v>341</v>
      </c>
      <c r="D169" s="23">
        <v>7.5</v>
      </c>
      <c r="E169" s="18" t="s">
        <v>317</v>
      </c>
      <c r="F169" s="19">
        <v>9047600</v>
      </c>
      <c r="G169" s="20">
        <v>8819.81</v>
      </c>
      <c r="H169" s="21">
        <v>1.6814304823000001E-3</v>
      </c>
      <c r="I169" s="20">
        <v>7.9</v>
      </c>
      <c r="J169" s="16" t="s">
        <v>13</v>
      </c>
    </row>
    <row r="170" spans="2:10" ht="15" customHeight="1">
      <c r="B170" s="15" t="s">
        <v>315</v>
      </c>
      <c r="C170" s="18" t="s">
        <v>342</v>
      </c>
      <c r="D170" s="23">
        <v>6.75</v>
      </c>
      <c r="E170" s="18" t="s">
        <v>317</v>
      </c>
      <c r="F170" s="19">
        <v>8164230</v>
      </c>
      <c r="G170" s="20">
        <v>8514.75</v>
      </c>
      <c r="H170" s="21">
        <v>1.6232730863000001E-3</v>
      </c>
      <c r="I170" s="20">
        <v>6.08</v>
      </c>
      <c r="J170" s="16" t="s">
        <v>13</v>
      </c>
    </row>
    <row r="171" spans="2:10" ht="15" customHeight="1">
      <c r="B171" s="15" t="s">
        <v>315</v>
      </c>
      <c r="C171" s="18" t="s">
        <v>343</v>
      </c>
      <c r="D171" s="23">
        <v>6.45</v>
      </c>
      <c r="E171" s="18" t="s">
        <v>317</v>
      </c>
      <c r="F171" s="19">
        <v>6882730</v>
      </c>
      <c r="G171" s="20">
        <v>7067.88</v>
      </c>
      <c r="H171" s="21">
        <v>1.3474381962000001E-3</v>
      </c>
      <c r="I171" s="20">
        <v>6.12</v>
      </c>
      <c r="J171" s="16" t="s">
        <v>13</v>
      </c>
    </row>
    <row r="172" spans="2:10" ht="15" customHeight="1">
      <c r="B172" s="15" t="s">
        <v>319</v>
      </c>
      <c r="C172" s="18" t="s">
        <v>344</v>
      </c>
      <c r="D172" s="23">
        <v>7.48</v>
      </c>
      <c r="E172" s="18" t="s">
        <v>317</v>
      </c>
      <c r="F172" s="19">
        <v>7222900</v>
      </c>
      <c r="G172" s="20">
        <v>7052.42</v>
      </c>
      <c r="H172" s="21">
        <v>1.3444908634E-3</v>
      </c>
      <c r="I172" s="20">
        <v>7.87</v>
      </c>
      <c r="J172" s="16" t="s">
        <v>13</v>
      </c>
    </row>
    <row r="173" spans="2:10" ht="15" customHeight="1">
      <c r="B173" s="15" t="s">
        <v>321</v>
      </c>
      <c r="C173" s="18" t="s">
        <v>345</v>
      </c>
      <c r="D173" s="23">
        <v>7.29</v>
      </c>
      <c r="E173" s="18" t="s">
        <v>317</v>
      </c>
      <c r="F173" s="19">
        <v>5163000</v>
      </c>
      <c r="G173" s="20">
        <v>5010.71</v>
      </c>
      <c r="H173" s="21">
        <v>9.5525419839999999E-4</v>
      </c>
      <c r="I173" s="20">
        <v>7.83</v>
      </c>
      <c r="J173" s="16" t="s">
        <v>13</v>
      </c>
    </row>
    <row r="174" spans="2:10" ht="15" customHeight="1">
      <c r="B174" s="15" t="s">
        <v>346</v>
      </c>
      <c r="C174" s="18" t="s">
        <v>347</v>
      </c>
      <c r="D174" s="23">
        <v>7.52</v>
      </c>
      <c r="E174" s="18" t="s">
        <v>317</v>
      </c>
      <c r="F174" s="19">
        <v>4871600</v>
      </c>
      <c r="G174" s="20">
        <v>4798.62</v>
      </c>
      <c r="H174" s="21">
        <v>9.1482083410000001E-4</v>
      </c>
      <c r="I174" s="20">
        <v>7.85</v>
      </c>
      <c r="J174" s="16" t="s">
        <v>13</v>
      </c>
    </row>
    <row r="175" spans="2:10" ht="15" customHeight="1">
      <c r="B175" s="15" t="s">
        <v>326</v>
      </c>
      <c r="C175" s="18" t="s">
        <v>348</v>
      </c>
      <c r="D175" s="23">
        <v>7.25</v>
      </c>
      <c r="E175" s="18" t="s">
        <v>317</v>
      </c>
      <c r="F175" s="19">
        <v>4913300</v>
      </c>
      <c r="G175" s="20">
        <v>4770.92</v>
      </c>
      <c r="H175" s="21">
        <v>9.0954003730000003E-4</v>
      </c>
      <c r="I175" s="20">
        <v>7.78</v>
      </c>
      <c r="J175" s="16" t="s">
        <v>13</v>
      </c>
    </row>
    <row r="176" spans="2:10" ht="15" customHeight="1">
      <c r="B176" s="15" t="s">
        <v>326</v>
      </c>
      <c r="C176" s="18" t="s">
        <v>349</v>
      </c>
      <c r="D176" s="23">
        <v>7.12</v>
      </c>
      <c r="E176" s="18" t="s">
        <v>317</v>
      </c>
      <c r="F176" s="19">
        <v>4960700</v>
      </c>
      <c r="G176" s="20">
        <v>4758.7</v>
      </c>
      <c r="H176" s="21">
        <v>9.0721038620000002E-4</v>
      </c>
      <c r="I176" s="20">
        <v>7.81</v>
      </c>
      <c r="J176" s="16" t="s">
        <v>13</v>
      </c>
    </row>
    <row r="177" spans="2:10" ht="15" customHeight="1">
      <c r="B177" s="15" t="s">
        <v>337</v>
      </c>
      <c r="C177" s="18" t="s">
        <v>350</v>
      </c>
      <c r="D177" s="23">
        <v>7.34</v>
      </c>
      <c r="E177" s="18" t="s">
        <v>317</v>
      </c>
      <c r="F177" s="19">
        <v>4129800</v>
      </c>
      <c r="G177" s="20">
        <v>4010.77</v>
      </c>
      <c r="H177" s="21">
        <v>7.6462315350000001E-4</v>
      </c>
      <c r="I177" s="20">
        <v>7.85</v>
      </c>
      <c r="J177" s="16" t="s">
        <v>13</v>
      </c>
    </row>
    <row r="178" spans="2:10" ht="15" customHeight="1">
      <c r="B178" s="15" t="s">
        <v>326</v>
      </c>
      <c r="C178" s="18" t="s">
        <v>351</v>
      </c>
      <c r="D178" s="23">
        <v>7.1400000000000006</v>
      </c>
      <c r="E178" s="18" t="s">
        <v>317</v>
      </c>
      <c r="F178" s="19">
        <v>4000000</v>
      </c>
      <c r="G178" s="20">
        <v>3837.69</v>
      </c>
      <c r="H178" s="21">
        <v>7.3162675240000003E-4</v>
      </c>
      <c r="I178" s="20">
        <v>7.8</v>
      </c>
      <c r="J178" s="16" t="s">
        <v>13</v>
      </c>
    </row>
    <row r="179" spans="2:10" ht="15" customHeight="1">
      <c r="B179" s="15" t="s">
        <v>321</v>
      </c>
      <c r="C179" s="18" t="s">
        <v>352</v>
      </c>
      <c r="D179" s="23">
        <v>7.24</v>
      </c>
      <c r="E179" s="18" t="s">
        <v>317</v>
      </c>
      <c r="F179" s="19">
        <v>3912600</v>
      </c>
      <c r="G179" s="20">
        <v>3792.78</v>
      </c>
      <c r="H179" s="21">
        <v>7.2306499849999996E-4</v>
      </c>
      <c r="I179" s="20">
        <v>7.82</v>
      </c>
      <c r="J179" s="16" t="s">
        <v>13</v>
      </c>
    </row>
    <row r="180" spans="2:10" ht="15" customHeight="1">
      <c r="B180" s="15" t="s">
        <v>346</v>
      </c>
      <c r="C180" s="18" t="s">
        <v>353</v>
      </c>
      <c r="D180" s="23">
        <v>7.44</v>
      </c>
      <c r="E180" s="18" t="s">
        <v>317</v>
      </c>
      <c r="F180" s="19">
        <v>2900000</v>
      </c>
      <c r="G180" s="20">
        <v>2829.85</v>
      </c>
      <c r="H180" s="21">
        <v>5.3948963189999997E-4</v>
      </c>
      <c r="I180" s="20">
        <v>7.86</v>
      </c>
      <c r="J180" s="16" t="s">
        <v>13</v>
      </c>
    </row>
    <row r="181" spans="2:10" ht="15" customHeight="1">
      <c r="B181" s="15" t="s">
        <v>339</v>
      </c>
      <c r="C181" s="18" t="s">
        <v>354</v>
      </c>
      <c r="D181" s="23">
        <v>7.63</v>
      </c>
      <c r="E181" s="18" t="s">
        <v>317</v>
      </c>
      <c r="F181" s="19">
        <v>2777800</v>
      </c>
      <c r="G181" s="20">
        <v>2762.8</v>
      </c>
      <c r="H181" s="21">
        <v>5.2670705339999998E-4</v>
      </c>
      <c r="I181" s="20">
        <v>7.85</v>
      </c>
      <c r="J181" s="16" t="s">
        <v>13</v>
      </c>
    </row>
    <row r="182" spans="2:10" ht="15" customHeight="1">
      <c r="B182" s="15" t="s">
        <v>346</v>
      </c>
      <c r="C182" s="18" t="s">
        <v>355</v>
      </c>
      <c r="D182" s="23">
        <v>7.43</v>
      </c>
      <c r="E182" s="18" t="s">
        <v>317</v>
      </c>
      <c r="F182" s="19">
        <v>2776400</v>
      </c>
      <c r="G182" s="20">
        <v>2714.03</v>
      </c>
      <c r="H182" s="21">
        <v>5.1740941940000001E-4</v>
      </c>
      <c r="I182" s="20">
        <v>7.85</v>
      </c>
      <c r="J182" s="16" t="s">
        <v>13</v>
      </c>
    </row>
    <row r="183" spans="2:10" ht="15" customHeight="1">
      <c r="B183" s="15" t="s">
        <v>335</v>
      </c>
      <c r="C183" s="18" t="s">
        <v>356</v>
      </c>
      <c r="D183" s="23">
        <v>7.12</v>
      </c>
      <c r="E183" s="18" t="s">
        <v>317</v>
      </c>
      <c r="F183" s="19">
        <v>2630000</v>
      </c>
      <c r="G183" s="20">
        <v>2580.73</v>
      </c>
      <c r="H183" s="21">
        <v>4.9199677640000003E-4</v>
      </c>
      <c r="I183" s="20">
        <v>7.6</v>
      </c>
      <c r="J183" s="16" t="s">
        <v>13</v>
      </c>
    </row>
    <row r="184" spans="2:10" ht="15" customHeight="1">
      <c r="B184" s="15" t="s">
        <v>346</v>
      </c>
      <c r="C184" s="18" t="s">
        <v>357</v>
      </c>
      <c r="D184" s="23">
        <v>7.78</v>
      </c>
      <c r="E184" s="18" t="s">
        <v>317</v>
      </c>
      <c r="F184" s="19">
        <v>2452900</v>
      </c>
      <c r="G184" s="20">
        <v>2467.59</v>
      </c>
      <c r="H184" s="21">
        <v>4.7042748579999999E-4</v>
      </c>
      <c r="I184" s="20">
        <v>7.86</v>
      </c>
      <c r="J184" s="16" t="s">
        <v>13</v>
      </c>
    </row>
    <row r="185" spans="2:10" ht="15" customHeight="1">
      <c r="B185" s="15" t="s">
        <v>358</v>
      </c>
      <c r="C185" s="18" t="s">
        <v>359</v>
      </c>
      <c r="D185" s="23">
        <v>7.43</v>
      </c>
      <c r="E185" s="18" t="s">
        <v>317</v>
      </c>
      <c r="F185" s="19">
        <v>1582000</v>
      </c>
      <c r="G185" s="20">
        <v>1542.87</v>
      </c>
      <c r="H185" s="21">
        <v>2.9413656850000002E-4</v>
      </c>
      <c r="I185" s="20">
        <v>7.87</v>
      </c>
      <c r="J185" s="16" t="s">
        <v>13</v>
      </c>
    </row>
    <row r="186" spans="2:10" ht="15" customHeight="1">
      <c r="B186" s="15" t="s">
        <v>360</v>
      </c>
      <c r="C186" s="18" t="s">
        <v>361</v>
      </c>
      <c r="D186" s="23">
        <v>7.13</v>
      </c>
      <c r="E186" s="18" t="s">
        <v>317</v>
      </c>
      <c r="F186" s="19">
        <v>1331200</v>
      </c>
      <c r="G186" s="20">
        <v>1304.4000000000001</v>
      </c>
      <c r="H186" s="21">
        <v>2.4867405540000002E-4</v>
      </c>
      <c r="I186" s="20">
        <v>7.61</v>
      </c>
      <c r="J186" s="16" t="s">
        <v>13</v>
      </c>
    </row>
    <row r="187" spans="2:10" ht="15" customHeight="1">
      <c r="B187" s="15" t="s">
        <v>326</v>
      </c>
      <c r="C187" s="18" t="s">
        <v>362</v>
      </c>
      <c r="D187" s="23">
        <v>7.27</v>
      </c>
      <c r="E187" s="18" t="s">
        <v>317</v>
      </c>
      <c r="F187" s="19">
        <v>1311600</v>
      </c>
      <c r="G187" s="20">
        <v>1278.05</v>
      </c>
      <c r="H187" s="21">
        <v>2.4365062600000001E-4</v>
      </c>
      <c r="I187" s="20">
        <v>7.78</v>
      </c>
      <c r="J187" s="16" t="s">
        <v>13</v>
      </c>
    </row>
    <row r="188" spans="2:10" ht="15" customHeight="1">
      <c r="B188" s="15" t="s">
        <v>363</v>
      </c>
      <c r="C188" s="18" t="s">
        <v>364</v>
      </c>
      <c r="D188" s="23">
        <v>7.29</v>
      </c>
      <c r="E188" s="18" t="s">
        <v>317</v>
      </c>
      <c r="F188" s="19">
        <v>577700</v>
      </c>
      <c r="G188" s="20">
        <v>558.62</v>
      </c>
      <c r="H188" s="21">
        <v>1.064967041E-4</v>
      </c>
      <c r="I188" s="20">
        <v>7.88</v>
      </c>
      <c r="J188" s="16" t="s">
        <v>13</v>
      </c>
    </row>
    <row r="189" spans="2:10" ht="15" customHeight="1">
      <c r="B189" s="15" t="s">
        <v>315</v>
      </c>
      <c r="C189" s="18" t="s">
        <v>365</v>
      </c>
      <c r="D189" s="23">
        <v>7.37</v>
      </c>
      <c r="E189" s="18" t="s">
        <v>317</v>
      </c>
      <c r="F189" s="19">
        <v>500000</v>
      </c>
      <c r="G189" s="20">
        <v>511.3</v>
      </c>
      <c r="H189" s="21">
        <v>9.7475501800000001E-5</v>
      </c>
      <c r="I189" s="20">
        <v>6.32</v>
      </c>
      <c r="J189" s="16" t="s">
        <v>13</v>
      </c>
    </row>
    <row r="190" spans="2:10" ht="15" customHeight="1">
      <c r="B190" s="15" t="s">
        <v>315</v>
      </c>
      <c r="C190" s="18" t="s">
        <v>366</v>
      </c>
      <c r="D190" s="23">
        <v>7.06</v>
      </c>
      <c r="E190" s="18" t="s">
        <v>317</v>
      </c>
      <c r="F190" s="19">
        <v>400000</v>
      </c>
      <c r="G190" s="20">
        <v>405.89</v>
      </c>
      <c r="H190" s="21">
        <v>7.7379877600000001E-5</v>
      </c>
      <c r="I190" s="20">
        <v>6.17</v>
      </c>
      <c r="J190" s="16" t="s">
        <v>13</v>
      </c>
    </row>
    <row r="191" spans="2:10" ht="15" customHeight="1">
      <c r="B191" s="15" t="s">
        <v>335</v>
      </c>
      <c r="C191" s="18" t="s">
        <v>367</v>
      </c>
      <c r="D191" s="23">
        <v>7.36</v>
      </c>
      <c r="E191" s="18" t="s">
        <v>317</v>
      </c>
      <c r="F191" s="19">
        <v>213000</v>
      </c>
      <c r="G191" s="20">
        <v>208.25</v>
      </c>
      <c r="H191" s="22" t="s">
        <v>289</v>
      </c>
      <c r="I191" s="20">
        <v>7.82</v>
      </c>
      <c r="J191" s="16" t="s">
        <v>13</v>
      </c>
    </row>
    <row r="192" spans="2:10" ht="15" customHeight="1">
      <c r="B192" s="15" t="s">
        <v>13</v>
      </c>
      <c r="J192" s="16" t="s">
        <v>13</v>
      </c>
    </row>
    <row r="193" spans="2:10" ht="15" customHeight="1">
      <c r="B193" s="10" t="s">
        <v>368</v>
      </c>
      <c r="C193" s="11" t="s">
        <v>13</v>
      </c>
      <c r="D193" s="12" t="s">
        <v>13</v>
      </c>
      <c r="E193" s="11" t="s">
        <v>13</v>
      </c>
      <c r="F193" s="12" t="s">
        <v>13</v>
      </c>
      <c r="G193" s="12">
        <v>478185.0399999998</v>
      </c>
      <c r="H193" s="17">
        <v>9.1162383594700025E-2</v>
      </c>
      <c r="I193" s="12" t="s">
        <v>13</v>
      </c>
      <c r="J193" s="16" t="s">
        <v>13</v>
      </c>
    </row>
    <row r="194" spans="2:10" ht="15" customHeight="1">
      <c r="B194" s="15" t="s">
        <v>369</v>
      </c>
      <c r="C194" s="18" t="s">
        <v>370</v>
      </c>
      <c r="D194" s="23">
        <v>8.02</v>
      </c>
      <c r="E194" s="18" t="s">
        <v>371</v>
      </c>
      <c r="F194" s="19">
        <v>40000</v>
      </c>
      <c r="G194" s="20">
        <v>39929.96</v>
      </c>
      <c r="H194" s="21">
        <v>7.6123467403E-3</v>
      </c>
      <c r="I194" s="20">
        <v>8.6999999999999993</v>
      </c>
      <c r="J194" s="16" t="s">
        <v>13</v>
      </c>
    </row>
    <row r="195" spans="2:10" ht="15" customHeight="1">
      <c r="B195" s="15" t="s">
        <v>372</v>
      </c>
      <c r="C195" s="18" t="s">
        <v>373</v>
      </c>
      <c r="D195" s="23">
        <v>7.34</v>
      </c>
      <c r="E195" s="18" t="s">
        <v>374</v>
      </c>
      <c r="F195" s="19">
        <v>30000</v>
      </c>
      <c r="G195" s="20">
        <v>29870.91</v>
      </c>
      <c r="H195" s="21">
        <v>5.6946644667000001E-3</v>
      </c>
      <c r="I195" s="20">
        <v>8.6</v>
      </c>
      <c r="J195" s="16" t="s">
        <v>13</v>
      </c>
    </row>
    <row r="196" spans="2:10" ht="15" customHeight="1">
      <c r="B196" s="15" t="s">
        <v>375</v>
      </c>
      <c r="C196" s="18" t="s">
        <v>376</v>
      </c>
      <c r="D196" s="23">
        <v>8.4499999999999993</v>
      </c>
      <c r="E196" s="18" t="s">
        <v>377</v>
      </c>
      <c r="F196" s="19">
        <v>27500</v>
      </c>
      <c r="G196" s="20">
        <v>27295.81</v>
      </c>
      <c r="H196" s="21">
        <v>5.2037410074000003E-3</v>
      </c>
      <c r="I196" s="20">
        <v>8.74</v>
      </c>
      <c r="J196" s="16" t="s">
        <v>13</v>
      </c>
    </row>
    <row r="197" spans="2:10" ht="15" customHeight="1">
      <c r="B197" s="15" t="s">
        <v>378</v>
      </c>
      <c r="C197" s="18" t="s">
        <v>379</v>
      </c>
      <c r="D197" s="23">
        <v>7.7</v>
      </c>
      <c r="E197" s="18" t="s">
        <v>374</v>
      </c>
      <c r="F197" s="19">
        <v>25000</v>
      </c>
      <c r="G197" s="20">
        <v>24724.35</v>
      </c>
      <c r="H197" s="21">
        <v>4.7135114867999997E-3</v>
      </c>
      <c r="I197" s="20">
        <v>8.08</v>
      </c>
      <c r="J197" s="16" t="s">
        <v>13</v>
      </c>
    </row>
    <row r="198" spans="2:10" ht="15" customHeight="1">
      <c r="B198" s="15" t="s">
        <v>380</v>
      </c>
      <c r="C198" s="18" t="s">
        <v>381</v>
      </c>
      <c r="D198" s="23">
        <v>8.9500000000000011</v>
      </c>
      <c r="E198" s="18" t="s">
        <v>374</v>
      </c>
      <c r="F198" s="19">
        <v>18000</v>
      </c>
      <c r="G198" s="20">
        <v>18051.07</v>
      </c>
      <c r="H198" s="21">
        <v>3.4413008145E-3</v>
      </c>
      <c r="I198" s="20">
        <v>7.34</v>
      </c>
      <c r="J198" s="16" t="s">
        <v>13</v>
      </c>
    </row>
    <row r="199" spans="2:10" ht="15" customHeight="1">
      <c r="B199" s="15" t="s">
        <v>382</v>
      </c>
      <c r="C199" s="18" t="s">
        <v>383</v>
      </c>
      <c r="D199" s="23">
        <v>7.6400000000000006</v>
      </c>
      <c r="E199" s="18" t="s">
        <v>374</v>
      </c>
      <c r="F199" s="19">
        <v>17500</v>
      </c>
      <c r="G199" s="20">
        <v>17264.05</v>
      </c>
      <c r="H199" s="21">
        <v>3.2912613672000002E-3</v>
      </c>
      <c r="I199" s="20">
        <v>8.0500000000000007</v>
      </c>
      <c r="J199" s="16" t="s">
        <v>13</v>
      </c>
    </row>
    <row r="200" spans="2:10" ht="15" customHeight="1">
      <c r="B200" s="15" t="s">
        <v>375</v>
      </c>
      <c r="C200" s="18" t="s">
        <v>384</v>
      </c>
      <c r="D200" s="23">
        <v>9.09</v>
      </c>
      <c r="E200" s="18" t="s">
        <v>377</v>
      </c>
      <c r="F200" s="19">
        <v>15000</v>
      </c>
      <c r="G200" s="20">
        <v>15123.29</v>
      </c>
      <c r="H200" s="21">
        <v>2.8831415642000002E-3</v>
      </c>
      <c r="I200" s="20">
        <v>8.26</v>
      </c>
      <c r="J200" s="16" t="s">
        <v>13</v>
      </c>
    </row>
    <row r="201" spans="2:10" ht="15" customHeight="1">
      <c r="B201" s="15" t="s">
        <v>385</v>
      </c>
      <c r="C201" s="18" t="s">
        <v>386</v>
      </c>
      <c r="D201" s="23">
        <v>8.6</v>
      </c>
      <c r="E201" s="18" t="s">
        <v>387</v>
      </c>
      <c r="F201" s="19">
        <v>15000</v>
      </c>
      <c r="G201" s="20">
        <v>14940.2</v>
      </c>
      <c r="H201" s="21">
        <v>2.8482368318999999E-3</v>
      </c>
      <c r="I201" s="20">
        <v>8.85</v>
      </c>
      <c r="J201" s="16" t="s">
        <v>13</v>
      </c>
    </row>
    <row r="202" spans="2:10" ht="15" customHeight="1">
      <c r="B202" s="15" t="s">
        <v>388</v>
      </c>
      <c r="C202" s="18" t="s">
        <v>389</v>
      </c>
      <c r="D202" s="23">
        <v>8.8000000000000007</v>
      </c>
      <c r="E202" s="18" t="s">
        <v>390</v>
      </c>
      <c r="F202" s="19">
        <v>15000</v>
      </c>
      <c r="G202" s="20">
        <v>14931.75</v>
      </c>
      <c r="H202" s="21">
        <v>2.8466259029000002E-3</v>
      </c>
      <c r="I202" s="20">
        <v>9.08</v>
      </c>
      <c r="J202" s="16" t="s">
        <v>13</v>
      </c>
    </row>
    <row r="203" spans="2:10" ht="15" customHeight="1">
      <c r="B203" s="15" t="s">
        <v>391</v>
      </c>
      <c r="C203" s="18" t="s">
        <v>392</v>
      </c>
      <c r="D203" s="23">
        <v>7.79</v>
      </c>
      <c r="E203" s="18" t="s">
        <v>374</v>
      </c>
      <c r="F203" s="19">
        <v>12500</v>
      </c>
      <c r="G203" s="20">
        <v>12527.55</v>
      </c>
      <c r="H203" s="21">
        <v>2.3882832440999999E-3</v>
      </c>
      <c r="I203" s="20">
        <v>7.46</v>
      </c>
      <c r="J203" s="16" t="s">
        <v>13</v>
      </c>
    </row>
    <row r="204" spans="2:10" ht="15" customHeight="1">
      <c r="B204" s="15" t="s">
        <v>393</v>
      </c>
      <c r="C204" s="18" t="s">
        <v>394</v>
      </c>
      <c r="D204" s="23">
        <v>8.7000000000000011</v>
      </c>
      <c r="E204" s="18" t="s">
        <v>395</v>
      </c>
      <c r="F204" s="19">
        <v>12500</v>
      </c>
      <c r="G204" s="20">
        <v>12516.76</v>
      </c>
      <c r="H204" s="21">
        <v>2.3862262117E-3</v>
      </c>
      <c r="I204" s="20">
        <v>8.7899999999999991</v>
      </c>
      <c r="J204" s="16" t="s">
        <v>13</v>
      </c>
    </row>
    <row r="205" spans="2:10" ht="15" customHeight="1">
      <c r="B205" s="15" t="s">
        <v>396</v>
      </c>
      <c r="C205" s="18" t="s">
        <v>397</v>
      </c>
      <c r="D205" s="23">
        <v>7.62</v>
      </c>
      <c r="E205" s="18" t="s">
        <v>374</v>
      </c>
      <c r="F205" s="19">
        <v>12500</v>
      </c>
      <c r="G205" s="20">
        <v>12488.78</v>
      </c>
      <c r="H205" s="21">
        <v>2.3808920350000002E-3</v>
      </c>
      <c r="I205" s="20">
        <v>7.63</v>
      </c>
      <c r="J205" s="16" t="s">
        <v>13</v>
      </c>
    </row>
    <row r="206" spans="2:10" ht="15" customHeight="1">
      <c r="B206" s="15" t="s">
        <v>398</v>
      </c>
      <c r="C206" s="18" t="s">
        <v>399</v>
      </c>
      <c r="D206" s="23">
        <v>8</v>
      </c>
      <c r="E206" s="18" t="s">
        <v>390</v>
      </c>
      <c r="F206" s="19">
        <v>1200</v>
      </c>
      <c r="G206" s="20">
        <v>11997.37</v>
      </c>
      <c r="H206" s="21">
        <v>2.2872084122E-3</v>
      </c>
      <c r="I206" s="20">
        <v>7.71</v>
      </c>
      <c r="J206" s="16" t="s">
        <v>13</v>
      </c>
    </row>
    <row r="207" spans="2:10" ht="15" customHeight="1">
      <c r="B207" s="15" t="s">
        <v>400</v>
      </c>
      <c r="C207" s="18" t="s">
        <v>401</v>
      </c>
      <c r="D207" s="23">
        <v>8.23</v>
      </c>
      <c r="E207" s="18" t="s">
        <v>377</v>
      </c>
      <c r="F207" s="19">
        <v>11000</v>
      </c>
      <c r="G207" s="20">
        <v>10939.69</v>
      </c>
      <c r="H207" s="21">
        <v>2.0855696701999999E-3</v>
      </c>
      <c r="I207" s="20">
        <v>8.3699999999999992</v>
      </c>
      <c r="J207" s="16" t="s">
        <v>13</v>
      </c>
    </row>
    <row r="208" spans="2:10" ht="15" customHeight="1">
      <c r="B208" s="15" t="s">
        <v>400</v>
      </c>
      <c r="C208" s="18" t="s">
        <v>402</v>
      </c>
      <c r="D208" s="23">
        <v>8.23</v>
      </c>
      <c r="E208" s="18" t="s">
        <v>377</v>
      </c>
      <c r="F208" s="19">
        <v>11000</v>
      </c>
      <c r="G208" s="20">
        <v>10938.74</v>
      </c>
      <c r="H208" s="21">
        <v>2.0853885599000001E-3</v>
      </c>
      <c r="I208" s="20">
        <v>8.3699999999999992</v>
      </c>
      <c r="J208" s="16" t="s">
        <v>13</v>
      </c>
    </row>
    <row r="209" spans="2:10" ht="15" customHeight="1">
      <c r="B209" s="15" t="s">
        <v>403</v>
      </c>
      <c r="C209" s="18" t="s">
        <v>404</v>
      </c>
      <c r="D209" s="23">
        <v>10.1</v>
      </c>
      <c r="E209" s="18" t="s">
        <v>405</v>
      </c>
      <c r="F209" s="19">
        <v>10000</v>
      </c>
      <c r="G209" s="20">
        <v>10065.57</v>
      </c>
      <c r="H209" s="21">
        <v>1.9189252626E-3</v>
      </c>
      <c r="I209" s="20">
        <v>8.93</v>
      </c>
      <c r="J209" s="16" t="s">
        <v>13</v>
      </c>
    </row>
    <row r="210" spans="2:10" ht="15" customHeight="1">
      <c r="B210" s="15" t="s">
        <v>406</v>
      </c>
      <c r="C210" s="18" t="s">
        <v>407</v>
      </c>
      <c r="D210" s="23">
        <v>8.9500000000000011</v>
      </c>
      <c r="E210" s="18" t="s">
        <v>377</v>
      </c>
      <c r="F210" s="19">
        <v>10000</v>
      </c>
      <c r="G210" s="20">
        <v>10052.25</v>
      </c>
      <c r="H210" s="21">
        <v>1.9163859047000001E-3</v>
      </c>
      <c r="I210" s="20">
        <v>8.67</v>
      </c>
      <c r="J210" s="16" t="s">
        <v>13</v>
      </c>
    </row>
    <row r="211" spans="2:10" ht="15" customHeight="1">
      <c r="B211" s="15" t="s">
        <v>408</v>
      </c>
      <c r="C211" s="18" t="s">
        <v>409</v>
      </c>
      <c r="D211" s="23">
        <v>10.81</v>
      </c>
      <c r="E211" s="18" t="s">
        <v>410</v>
      </c>
      <c r="F211" s="19">
        <v>10000</v>
      </c>
      <c r="G211" s="20">
        <v>10038.59</v>
      </c>
      <c r="H211" s="21">
        <v>1.9137817284000001E-3</v>
      </c>
      <c r="I211" s="20">
        <v>10.19</v>
      </c>
      <c r="J211" s="16" t="s">
        <v>13</v>
      </c>
    </row>
    <row r="212" spans="2:10" ht="15" customHeight="1">
      <c r="B212" s="15" t="s">
        <v>411</v>
      </c>
      <c r="C212" s="18" t="s">
        <v>412</v>
      </c>
      <c r="D212" s="23">
        <v>9.4</v>
      </c>
      <c r="E212" s="18" t="s">
        <v>371</v>
      </c>
      <c r="F212" s="19">
        <v>10000</v>
      </c>
      <c r="G212" s="20">
        <v>10036.870000000001</v>
      </c>
      <c r="H212" s="21">
        <v>1.9134538233000001E-3</v>
      </c>
      <c r="I212" s="20">
        <v>8.1999999999999993</v>
      </c>
      <c r="J212" s="16" t="s">
        <v>13</v>
      </c>
    </row>
    <row r="213" spans="2:10" ht="15" customHeight="1">
      <c r="B213" s="15" t="s">
        <v>375</v>
      </c>
      <c r="C213" s="18" t="s">
        <v>413</v>
      </c>
      <c r="D213" s="23">
        <v>8.9</v>
      </c>
      <c r="E213" s="18" t="s">
        <v>377</v>
      </c>
      <c r="F213" s="19">
        <v>10000</v>
      </c>
      <c r="G213" s="20">
        <v>10029.98</v>
      </c>
      <c r="H213" s="21">
        <v>1.9121402966000001E-3</v>
      </c>
      <c r="I213" s="20">
        <v>8.57</v>
      </c>
      <c r="J213" s="16" t="s">
        <v>13</v>
      </c>
    </row>
    <row r="214" spans="2:10" ht="15" customHeight="1">
      <c r="B214" s="15" t="s">
        <v>375</v>
      </c>
      <c r="C214" s="18" t="s">
        <v>414</v>
      </c>
      <c r="D214" s="23">
        <v>8.7799999999999994</v>
      </c>
      <c r="E214" s="18" t="s">
        <v>377</v>
      </c>
      <c r="F214" s="19">
        <v>10000</v>
      </c>
      <c r="G214" s="20">
        <v>10012.85</v>
      </c>
      <c r="H214" s="21">
        <v>1.9088745907999999E-3</v>
      </c>
      <c r="I214" s="20">
        <v>8.3800000000000008</v>
      </c>
      <c r="J214" s="16" t="s">
        <v>13</v>
      </c>
    </row>
    <row r="215" spans="2:10" ht="15" customHeight="1">
      <c r="B215" s="15" t="s">
        <v>415</v>
      </c>
      <c r="C215" s="18" t="s">
        <v>416</v>
      </c>
      <c r="D215" s="23">
        <v>8.0500000000000007</v>
      </c>
      <c r="E215" s="18" t="s">
        <v>417</v>
      </c>
      <c r="F215" s="19">
        <v>10000</v>
      </c>
      <c r="G215" s="20">
        <v>9970.1</v>
      </c>
      <c r="H215" s="21">
        <v>1.9007246247E-3</v>
      </c>
      <c r="I215" s="20">
        <v>8.4600000000000009</v>
      </c>
      <c r="J215" s="16" t="s">
        <v>13</v>
      </c>
    </row>
    <row r="216" spans="2:10" ht="15" customHeight="1">
      <c r="B216" s="15" t="s">
        <v>375</v>
      </c>
      <c r="C216" s="18" t="s">
        <v>418</v>
      </c>
      <c r="D216" s="23">
        <v>8.4499999999999993</v>
      </c>
      <c r="E216" s="18" t="s">
        <v>377</v>
      </c>
      <c r="F216" s="19">
        <v>10000</v>
      </c>
      <c r="G216" s="20">
        <v>9944.19</v>
      </c>
      <c r="H216" s="21">
        <v>1.8957850778999999E-3</v>
      </c>
      <c r="I216" s="20">
        <v>9.75</v>
      </c>
      <c r="J216" s="16" t="s">
        <v>13</v>
      </c>
    </row>
    <row r="217" spans="2:10" ht="15" customHeight="1">
      <c r="B217" s="15" t="s">
        <v>419</v>
      </c>
      <c r="C217" s="18" t="s">
        <v>420</v>
      </c>
      <c r="D217" s="23">
        <v>9.4500000000000011</v>
      </c>
      <c r="E217" s="18" t="s">
        <v>405</v>
      </c>
      <c r="F217" s="19">
        <v>10000</v>
      </c>
      <c r="G217" s="20">
        <v>9921.42</v>
      </c>
      <c r="H217" s="21">
        <v>1.8914441486000001E-3</v>
      </c>
      <c r="I217" s="20">
        <v>10.25</v>
      </c>
      <c r="J217" s="16" t="s">
        <v>13</v>
      </c>
    </row>
    <row r="218" spans="2:10" ht="15" customHeight="1">
      <c r="B218" s="15" t="s">
        <v>421</v>
      </c>
      <c r="C218" s="18" t="s">
        <v>422</v>
      </c>
      <c r="D218" s="23">
        <v>6.96</v>
      </c>
      <c r="E218" s="18" t="s">
        <v>374</v>
      </c>
      <c r="F218" s="19">
        <v>10000</v>
      </c>
      <c r="G218" s="20">
        <v>9912.91</v>
      </c>
      <c r="H218" s="21">
        <v>1.889821781E-3</v>
      </c>
      <c r="I218" s="20">
        <v>7.55</v>
      </c>
      <c r="J218" s="16" t="s">
        <v>13</v>
      </c>
    </row>
    <row r="219" spans="2:10" ht="15" customHeight="1">
      <c r="B219" s="15" t="s">
        <v>385</v>
      </c>
      <c r="C219" s="18" t="s">
        <v>423</v>
      </c>
      <c r="D219" s="23">
        <v>8</v>
      </c>
      <c r="E219" s="18" t="s">
        <v>387</v>
      </c>
      <c r="F219" s="19">
        <v>10000</v>
      </c>
      <c r="G219" s="20">
        <v>9908.86</v>
      </c>
      <c r="H219" s="21">
        <v>1.889049679E-3</v>
      </c>
      <c r="I219" s="20">
        <v>8.7200000000000006</v>
      </c>
      <c r="J219" s="16" t="s">
        <v>13</v>
      </c>
    </row>
    <row r="220" spans="2:10" ht="15" customHeight="1">
      <c r="B220" s="15" t="s">
        <v>424</v>
      </c>
      <c r="C220" s="18" t="s">
        <v>425</v>
      </c>
      <c r="D220" s="23">
        <v>8.4</v>
      </c>
      <c r="E220" s="18" t="s">
        <v>426</v>
      </c>
      <c r="F220" s="19">
        <v>9500</v>
      </c>
      <c r="G220" s="20">
        <v>9544.26</v>
      </c>
      <c r="H220" s="21">
        <v>1.8195414295000001E-3</v>
      </c>
      <c r="I220" s="20">
        <v>7.57</v>
      </c>
      <c r="J220" s="16" t="s">
        <v>13</v>
      </c>
    </row>
    <row r="221" spans="2:10" ht="15" customHeight="1">
      <c r="B221" s="15" t="s">
        <v>375</v>
      </c>
      <c r="C221" s="18" t="s">
        <v>427</v>
      </c>
      <c r="D221" s="23">
        <v>8.9</v>
      </c>
      <c r="E221" s="18" t="s">
        <v>377</v>
      </c>
      <c r="F221" s="19">
        <v>7500</v>
      </c>
      <c r="G221" s="20">
        <v>7516.9</v>
      </c>
      <c r="H221" s="21">
        <v>1.4330404842E-3</v>
      </c>
      <c r="I221" s="20">
        <v>8.44</v>
      </c>
      <c r="J221" s="16" t="s">
        <v>13</v>
      </c>
    </row>
    <row r="222" spans="2:10" ht="15" customHeight="1">
      <c r="B222" s="15" t="s">
        <v>428</v>
      </c>
      <c r="C222" s="18" t="s">
        <v>429</v>
      </c>
      <c r="D222" s="23">
        <v>9.3000000000000007</v>
      </c>
      <c r="E222" s="18" t="s">
        <v>390</v>
      </c>
      <c r="F222" s="19">
        <v>7500</v>
      </c>
      <c r="G222" s="20">
        <v>7506.53</v>
      </c>
      <c r="H222" s="21">
        <v>1.4310635216E-3</v>
      </c>
      <c r="I222" s="20">
        <v>8.0299999999999994</v>
      </c>
      <c r="J222" s="16" t="s">
        <v>13</v>
      </c>
    </row>
    <row r="223" spans="2:10" ht="15" customHeight="1">
      <c r="B223" s="15" t="s">
        <v>396</v>
      </c>
      <c r="C223" s="18" t="s">
        <v>430</v>
      </c>
      <c r="D223" s="23">
        <v>7.44</v>
      </c>
      <c r="E223" s="18" t="s">
        <v>374</v>
      </c>
      <c r="F223" s="19">
        <v>7500</v>
      </c>
      <c r="G223" s="20">
        <v>7475.6</v>
      </c>
      <c r="H223" s="21">
        <v>1.4251669496E-3</v>
      </c>
      <c r="I223" s="20">
        <v>7.63</v>
      </c>
      <c r="J223" s="16" t="s">
        <v>13</v>
      </c>
    </row>
    <row r="224" spans="2:10" ht="15" customHeight="1">
      <c r="B224" s="15" t="s">
        <v>391</v>
      </c>
      <c r="C224" s="18" t="s">
        <v>431</v>
      </c>
      <c r="D224" s="23">
        <v>7.34</v>
      </c>
      <c r="E224" s="18" t="s">
        <v>374</v>
      </c>
      <c r="F224" s="19">
        <v>7000</v>
      </c>
      <c r="G224" s="20">
        <v>6941.49</v>
      </c>
      <c r="H224" s="21">
        <v>1.3233428927E-3</v>
      </c>
      <c r="I224" s="20">
        <v>7.74</v>
      </c>
      <c r="J224" s="16" t="s">
        <v>13</v>
      </c>
    </row>
    <row r="225" spans="2:10" ht="15" customHeight="1">
      <c r="B225" s="15" t="s">
        <v>432</v>
      </c>
      <c r="C225" s="18" t="s">
        <v>433</v>
      </c>
      <c r="D225" s="23">
        <v>8.4</v>
      </c>
      <c r="E225" s="18" t="s">
        <v>371</v>
      </c>
      <c r="F225" s="19">
        <v>5000</v>
      </c>
      <c r="G225" s="20">
        <v>5017.82</v>
      </c>
      <c r="H225" s="21">
        <v>9.5660966650000002E-4</v>
      </c>
      <c r="I225" s="20">
        <v>8.16</v>
      </c>
      <c r="J225" s="16" t="s">
        <v>13</v>
      </c>
    </row>
    <row r="226" spans="2:10" ht="15" customHeight="1">
      <c r="B226" s="15" t="s">
        <v>375</v>
      </c>
      <c r="C226" s="18" t="s">
        <v>434</v>
      </c>
      <c r="D226" s="23">
        <v>8.85</v>
      </c>
      <c r="E226" s="18" t="s">
        <v>377</v>
      </c>
      <c r="F226" s="19">
        <v>5000</v>
      </c>
      <c r="G226" s="20">
        <v>5010.0600000000004</v>
      </c>
      <c r="H226" s="21">
        <v>9.551302808E-4</v>
      </c>
      <c r="I226" s="20">
        <v>7.59</v>
      </c>
      <c r="J226" s="16" t="s">
        <v>13</v>
      </c>
    </row>
    <row r="227" spans="2:10" ht="15" customHeight="1">
      <c r="B227" s="15" t="s">
        <v>435</v>
      </c>
      <c r="C227" s="18" t="s">
        <v>436</v>
      </c>
      <c r="D227" s="23">
        <v>7.84</v>
      </c>
      <c r="E227" s="18" t="s">
        <v>377</v>
      </c>
      <c r="F227" s="19">
        <v>50</v>
      </c>
      <c r="G227" s="20">
        <v>4992.66</v>
      </c>
      <c r="H227" s="21">
        <v>9.5181310160000004E-4</v>
      </c>
      <c r="I227" s="20">
        <v>7.99</v>
      </c>
      <c r="J227" s="16" t="s">
        <v>13</v>
      </c>
    </row>
    <row r="228" spans="2:10" ht="15" customHeight="1">
      <c r="B228" s="15" t="s">
        <v>437</v>
      </c>
      <c r="C228" s="18" t="s">
        <v>438</v>
      </c>
      <c r="D228" s="23">
        <v>7.6400000000000006</v>
      </c>
      <c r="E228" s="18" t="s">
        <v>426</v>
      </c>
      <c r="F228" s="19">
        <v>5000</v>
      </c>
      <c r="G228" s="20">
        <v>4987.47</v>
      </c>
      <c r="H228" s="21">
        <v>9.5082366709999997E-4</v>
      </c>
      <c r="I228" s="20">
        <v>7.71</v>
      </c>
      <c r="J228" s="16" t="s">
        <v>13</v>
      </c>
    </row>
    <row r="229" spans="2:10" ht="15" customHeight="1">
      <c r="B229" s="15" t="s">
        <v>396</v>
      </c>
      <c r="C229" s="18" t="s">
        <v>439</v>
      </c>
      <c r="D229" s="23">
        <v>7.48</v>
      </c>
      <c r="E229" s="18" t="s">
        <v>374</v>
      </c>
      <c r="F229" s="19">
        <v>5000</v>
      </c>
      <c r="G229" s="20">
        <v>4985.8100000000004</v>
      </c>
      <c r="H229" s="21">
        <v>9.505072006E-4</v>
      </c>
      <c r="I229" s="20">
        <v>7.63</v>
      </c>
      <c r="J229" s="16" t="s">
        <v>13</v>
      </c>
    </row>
    <row r="230" spans="2:10" ht="15" customHeight="1">
      <c r="B230" s="15" t="s">
        <v>437</v>
      </c>
      <c r="C230" s="18" t="s">
        <v>440</v>
      </c>
      <c r="D230" s="23">
        <v>7.44</v>
      </c>
      <c r="E230" s="18" t="s">
        <v>374</v>
      </c>
      <c r="F230" s="19">
        <v>5000</v>
      </c>
      <c r="G230" s="20">
        <v>4965.46</v>
      </c>
      <c r="H230" s="21">
        <v>9.4662762609999999E-4</v>
      </c>
      <c r="I230" s="20">
        <v>7.71</v>
      </c>
      <c r="J230" s="16" t="s">
        <v>13</v>
      </c>
    </row>
    <row r="231" spans="2:10" ht="15" customHeight="1">
      <c r="B231" s="15" t="s">
        <v>441</v>
      </c>
      <c r="C231" s="18" t="s">
        <v>442</v>
      </c>
      <c r="D231" s="23">
        <v>8.15</v>
      </c>
      <c r="E231" s="18" t="s">
        <v>377</v>
      </c>
      <c r="F231" s="19">
        <v>5000</v>
      </c>
      <c r="G231" s="20">
        <v>4947.79</v>
      </c>
      <c r="H231" s="21">
        <v>9.4325897340000002E-4</v>
      </c>
      <c r="I231" s="20">
        <v>8.64</v>
      </c>
      <c r="J231" s="16" t="s">
        <v>13</v>
      </c>
    </row>
    <row r="232" spans="2:10" ht="15" customHeight="1">
      <c r="B232" s="15" t="s">
        <v>443</v>
      </c>
      <c r="C232" s="18" t="s">
        <v>444</v>
      </c>
      <c r="D232" s="23">
        <v>9.25</v>
      </c>
      <c r="E232" s="18" t="s">
        <v>371</v>
      </c>
      <c r="F232" s="19">
        <v>3500</v>
      </c>
      <c r="G232" s="20">
        <v>3499.23</v>
      </c>
      <c r="H232" s="21">
        <v>6.6710189750000001E-4</v>
      </c>
      <c r="I232" s="20">
        <v>8.8800000000000008</v>
      </c>
      <c r="J232" s="16" t="s">
        <v>13</v>
      </c>
    </row>
    <row r="233" spans="2:10" ht="15" customHeight="1">
      <c r="B233" s="15" t="s">
        <v>445</v>
      </c>
      <c r="C233" s="18" t="s">
        <v>446</v>
      </c>
      <c r="D233" s="23">
        <v>10.25</v>
      </c>
      <c r="E233" s="18" t="s">
        <v>447</v>
      </c>
      <c r="F233" s="19">
        <v>3500</v>
      </c>
      <c r="G233" s="20">
        <v>3492.63</v>
      </c>
      <c r="H233" s="21">
        <v>6.6584365710000001E-4</v>
      </c>
      <c r="I233" s="20">
        <v>10.24</v>
      </c>
      <c r="J233" s="16" t="s">
        <v>13</v>
      </c>
    </row>
    <row r="234" spans="2:10" ht="15" customHeight="1">
      <c r="B234" s="15" t="s">
        <v>445</v>
      </c>
      <c r="C234" s="18" t="s">
        <v>448</v>
      </c>
      <c r="D234" s="23">
        <v>10.25</v>
      </c>
      <c r="E234" s="18" t="s">
        <v>447</v>
      </c>
      <c r="F234" s="19">
        <v>3500</v>
      </c>
      <c r="G234" s="20">
        <v>3491.48</v>
      </c>
      <c r="H234" s="21">
        <v>6.6562441819999999E-4</v>
      </c>
      <c r="I234" s="20">
        <v>10.24</v>
      </c>
      <c r="J234" s="16" t="s">
        <v>13</v>
      </c>
    </row>
    <row r="235" spans="2:10" ht="15" customHeight="1">
      <c r="B235" s="15" t="s">
        <v>443</v>
      </c>
      <c r="C235" s="18" t="s">
        <v>449</v>
      </c>
      <c r="D235" s="23">
        <v>9.25</v>
      </c>
      <c r="E235" s="18" t="s">
        <v>371</v>
      </c>
      <c r="F235" s="19">
        <v>3500</v>
      </c>
      <c r="G235" s="20">
        <v>3487.34</v>
      </c>
      <c r="H235" s="21">
        <v>6.6483515829999997E-4</v>
      </c>
      <c r="I235" s="20">
        <v>9.44</v>
      </c>
      <c r="J235" s="16" t="s">
        <v>13</v>
      </c>
    </row>
    <row r="236" spans="2:10" ht="15" customHeight="1">
      <c r="B236" s="15" t="s">
        <v>450</v>
      </c>
      <c r="C236" s="18" t="s">
        <v>451</v>
      </c>
      <c r="D236" s="23">
        <v>7.99</v>
      </c>
      <c r="E236" s="18" t="s">
        <v>377</v>
      </c>
      <c r="F236" s="19">
        <v>2900</v>
      </c>
      <c r="G236" s="20">
        <v>2902.87</v>
      </c>
      <c r="H236" s="21">
        <v>5.5341034599999997E-4</v>
      </c>
      <c r="I236" s="20">
        <v>6.97</v>
      </c>
      <c r="J236" s="16" t="s">
        <v>13</v>
      </c>
    </row>
    <row r="237" spans="2:10" ht="15" customHeight="1">
      <c r="B237" s="15" t="s">
        <v>452</v>
      </c>
      <c r="C237" s="18" t="s">
        <v>453</v>
      </c>
      <c r="D237" s="23">
        <v>8.9500000000000011</v>
      </c>
      <c r="E237" s="18" t="s">
        <v>454</v>
      </c>
      <c r="F237" s="19">
        <v>2500</v>
      </c>
      <c r="G237" s="20">
        <v>2475.9699999999998</v>
      </c>
      <c r="H237" s="21">
        <v>4.7202506979999998E-4</v>
      </c>
      <c r="I237" s="20">
        <v>10.050000000000001</v>
      </c>
      <c r="J237" s="16" t="s">
        <v>13</v>
      </c>
    </row>
    <row r="238" spans="2:10" ht="15" customHeight="1">
      <c r="B238" s="15" t="s">
        <v>432</v>
      </c>
      <c r="C238" s="18" t="s">
        <v>455</v>
      </c>
      <c r="D238" s="23">
        <v>8.5500000000000007</v>
      </c>
      <c r="E238" s="18" t="s">
        <v>371</v>
      </c>
      <c r="F238" s="19">
        <v>1500</v>
      </c>
      <c r="G238" s="20">
        <v>1509.8</v>
      </c>
      <c r="H238" s="21">
        <v>2.8783202149999999E-4</v>
      </c>
      <c r="I238" s="20">
        <v>8.2799999999999994</v>
      </c>
      <c r="J238" s="16" t="s">
        <v>13</v>
      </c>
    </row>
    <row r="239" spans="2:10" ht="15" customHeight="1">
      <c r="B239" s="15" t="s">
        <v>13</v>
      </c>
      <c r="J239" s="16" t="s">
        <v>13</v>
      </c>
    </row>
    <row r="240" spans="2:10" ht="15" customHeight="1">
      <c r="B240" s="10" t="s">
        <v>456</v>
      </c>
      <c r="C240" s="11" t="s">
        <v>13</v>
      </c>
      <c r="D240" s="12" t="s">
        <v>13</v>
      </c>
      <c r="E240" s="11" t="s">
        <v>13</v>
      </c>
      <c r="F240" s="12" t="s">
        <v>13</v>
      </c>
      <c r="G240" s="12" t="s">
        <v>313</v>
      </c>
      <c r="H240" s="17" t="s">
        <v>313</v>
      </c>
      <c r="I240" s="12" t="s">
        <v>13</v>
      </c>
      <c r="J240" s="16" t="s">
        <v>13</v>
      </c>
    </row>
    <row r="241" spans="2:10" ht="15" customHeight="1">
      <c r="B241" s="15" t="s">
        <v>13</v>
      </c>
      <c r="J241" s="16" t="s">
        <v>13</v>
      </c>
    </row>
    <row r="242" spans="2:10" ht="15" customHeight="1">
      <c r="B242" s="10" t="s">
        <v>457</v>
      </c>
      <c r="C242" s="11" t="s">
        <v>13</v>
      </c>
      <c r="D242" s="12" t="s">
        <v>13</v>
      </c>
      <c r="E242" s="11" t="s">
        <v>13</v>
      </c>
      <c r="F242" s="12" t="s">
        <v>13</v>
      </c>
      <c r="G242" s="12">
        <v>46639.73</v>
      </c>
      <c r="H242" s="17">
        <v>8.8915139565000009E-3</v>
      </c>
      <c r="I242" s="12" t="s">
        <v>13</v>
      </c>
      <c r="J242" s="16" t="s">
        <v>13</v>
      </c>
    </row>
    <row r="243" spans="2:10" ht="15" customHeight="1">
      <c r="B243" s="15" t="s">
        <v>458</v>
      </c>
      <c r="C243" s="18" t="s">
        <v>459</v>
      </c>
      <c r="D243" s="18" t="s">
        <v>13</v>
      </c>
      <c r="E243" s="18" t="s">
        <v>460</v>
      </c>
      <c r="F243" s="19">
        <v>208</v>
      </c>
      <c r="G243" s="20">
        <v>17761.939999999999</v>
      </c>
      <c r="H243" s="21">
        <v>3.3861803532999999E-3</v>
      </c>
      <c r="I243" s="20">
        <v>8.4499999999999993</v>
      </c>
      <c r="J243" s="16" t="s">
        <v>13</v>
      </c>
    </row>
    <row r="244" spans="2:10" ht="15" customHeight="1">
      <c r="B244" s="15" t="s">
        <v>461</v>
      </c>
      <c r="C244" s="18" t="s">
        <v>462</v>
      </c>
      <c r="D244" s="18" t="s">
        <v>13</v>
      </c>
      <c r="E244" s="18" t="s">
        <v>463</v>
      </c>
      <c r="F244" s="19">
        <v>125</v>
      </c>
      <c r="G244" s="20">
        <v>11468.82</v>
      </c>
      <c r="H244" s="21">
        <v>2.1864443274999998E-3</v>
      </c>
      <c r="I244" s="20">
        <v>8.4600000000000009</v>
      </c>
      <c r="J244" s="16" t="s">
        <v>13</v>
      </c>
    </row>
    <row r="245" spans="2:10" ht="15" customHeight="1">
      <c r="B245" s="15" t="s">
        <v>461</v>
      </c>
      <c r="C245" s="18" t="s">
        <v>464</v>
      </c>
      <c r="D245" s="18" t="s">
        <v>13</v>
      </c>
      <c r="E245" s="18" t="s">
        <v>463</v>
      </c>
      <c r="F245" s="19">
        <v>129</v>
      </c>
      <c r="G245" s="20">
        <v>7343.43</v>
      </c>
      <c r="H245" s="21">
        <v>1.3999697324999999E-3</v>
      </c>
      <c r="I245" s="20">
        <v>8.4</v>
      </c>
      <c r="J245" s="16" t="s">
        <v>13</v>
      </c>
    </row>
    <row r="246" spans="2:10" ht="15" customHeight="1">
      <c r="B246" s="15" t="s">
        <v>458</v>
      </c>
      <c r="C246" s="18" t="s">
        <v>465</v>
      </c>
      <c r="D246" s="18" t="s">
        <v>13</v>
      </c>
      <c r="E246" s="18" t="s">
        <v>460</v>
      </c>
      <c r="F246" s="19">
        <v>99</v>
      </c>
      <c r="G246" s="20">
        <v>4750.0200000000004</v>
      </c>
      <c r="H246" s="21">
        <v>9.0555560940000003E-4</v>
      </c>
      <c r="I246" s="20">
        <v>7.96</v>
      </c>
      <c r="J246" s="16" t="s">
        <v>13</v>
      </c>
    </row>
    <row r="247" spans="2:10" ht="15" customHeight="1">
      <c r="B247" s="15" t="s">
        <v>466</v>
      </c>
      <c r="C247" s="18" t="s">
        <v>467</v>
      </c>
      <c r="D247" s="18" t="s">
        <v>13</v>
      </c>
      <c r="E247" s="18" t="s">
        <v>463</v>
      </c>
      <c r="F247" s="19">
        <v>1000000000</v>
      </c>
      <c r="G247" s="20">
        <v>2856</v>
      </c>
      <c r="H247" s="21">
        <v>5.4447493279999998E-4</v>
      </c>
      <c r="I247" s="20">
        <v>9.51</v>
      </c>
      <c r="J247" s="16" t="s">
        <v>13</v>
      </c>
    </row>
    <row r="248" spans="2:10" ht="15" customHeight="1">
      <c r="B248" s="15" t="s">
        <v>468</v>
      </c>
      <c r="C248" s="18" t="s">
        <v>469</v>
      </c>
      <c r="D248" s="18" t="s">
        <v>13</v>
      </c>
      <c r="E248" s="18" t="s">
        <v>463</v>
      </c>
      <c r="F248" s="19">
        <v>25</v>
      </c>
      <c r="G248" s="20">
        <v>2459.52</v>
      </c>
      <c r="H248" s="21">
        <v>4.68889001E-4</v>
      </c>
      <c r="I248" s="20">
        <v>7.89</v>
      </c>
      <c r="J248" s="16" t="s">
        <v>13</v>
      </c>
    </row>
    <row r="249" spans="2:10" ht="15" customHeight="1">
      <c r="B249" s="15"/>
      <c r="C249" s="18"/>
      <c r="D249" s="18"/>
      <c r="E249" s="18"/>
      <c r="F249" s="19"/>
      <c r="G249" s="20"/>
      <c r="H249" s="21"/>
      <c r="I249" s="20"/>
      <c r="J249" s="16"/>
    </row>
    <row r="250" spans="2:10" ht="15" customHeight="1">
      <c r="B250" s="26" t="s">
        <v>470</v>
      </c>
      <c r="C250" s="18"/>
      <c r="D250" s="18"/>
      <c r="E250" s="18"/>
      <c r="F250" s="19"/>
      <c r="G250" s="12">
        <v>1604.96</v>
      </c>
      <c r="H250" s="17">
        <v>3.0597356029999999E-4</v>
      </c>
      <c r="I250" s="20"/>
      <c r="J250" s="16"/>
    </row>
    <row r="251" spans="2:10" ht="15" customHeight="1">
      <c r="B251" s="10" t="s">
        <v>471</v>
      </c>
      <c r="C251" s="18"/>
      <c r="D251" s="18"/>
      <c r="E251" s="18"/>
      <c r="F251" s="19"/>
      <c r="G251" s="20"/>
      <c r="H251" s="21"/>
      <c r="I251" s="20"/>
      <c r="J251" s="16"/>
    </row>
    <row r="252" spans="2:10" ht="15" customHeight="1">
      <c r="B252" s="15" t="s">
        <v>26</v>
      </c>
      <c r="C252" s="18" t="s">
        <v>472</v>
      </c>
      <c r="D252" s="18" t="s">
        <v>13</v>
      </c>
      <c r="E252" s="18" t="s">
        <v>473</v>
      </c>
      <c r="F252" s="19">
        <v>16049572</v>
      </c>
      <c r="G252" s="20">
        <v>1604.96</v>
      </c>
      <c r="H252" s="21">
        <v>3.0597356029999999E-4</v>
      </c>
      <c r="I252" s="20"/>
      <c r="J252" s="16"/>
    </row>
    <row r="253" spans="2:10" ht="15" customHeight="1">
      <c r="B253" s="15" t="s">
        <v>13</v>
      </c>
      <c r="J253" s="16" t="s">
        <v>13</v>
      </c>
    </row>
    <row r="254" spans="2:10" ht="15" customHeight="1">
      <c r="B254" s="10" t="s">
        <v>474</v>
      </c>
      <c r="C254" s="11" t="s">
        <v>13</v>
      </c>
      <c r="D254" s="12" t="s">
        <v>13</v>
      </c>
      <c r="E254" s="11" t="s">
        <v>13</v>
      </c>
      <c r="F254" s="12" t="s">
        <v>13</v>
      </c>
      <c r="G254" s="12" t="s">
        <v>313</v>
      </c>
      <c r="H254" s="17" t="s">
        <v>313</v>
      </c>
      <c r="I254" s="12" t="s">
        <v>13</v>
      </c>
      <c r="J254" s="16" t="s">
        <v>13</v>
      </c>
    </row>
    <row r="255" spans="2:10" ht="15" customHeight="1">
      <c r="B255" s="15" t="s">
        <v>13</v>
      </c>
      <c r="J255" s="16" t="s">
        <v>13</v>
      </c>
    </row>
    <row r="256" spans="2:10" ht="15" customHeight="1">
      <c r="B256" s="10" t="s">
        <v>475</v>
      </c>
      <c r="C256" s="11" t="s">
        <v>13</v>
      </c>
      <c r="D256" s="12" t="s">
        <v>13</v>
      </c>
      <c r="E256" s="11" t="s">
        <v>13</v>
      </c>
      <c r="F256" s="12" t="s">
        <v>13</v>
      </c>
      <c r="G256" s="12" t="s">
        <v>313</v>
      </c>
      <c r="H256" s="17" t="s">
        <v>313</v>
      </c>
      <c r="I256" s="12" t="s">
        <v>13</v>
      </c>
      <c r="J256" s="16" t="s">
        <v>13</v>
      </c>
    </row>
    <row r="257" spans="2:10" ht="15" customHeight="1">
      <c r="B257" s="15" t="s">
        <v>13</v>
      </c>
      <c r="J257" s="16" t="s">
        <v>13</v>
      </c>
    </row>
    <row r="258" spans="2:10" ht="15" customHeight="1">
      <c r="B258" s="10" t="s">
        <v>476</v>
      </c>
      <c r="C258" s="11" t="s">
        <v>13</v>
      </c>
      <c r="D258" s="12" t="s">
        <v>13</v>
      </c>
      <c r="E258" s="11" t="s">
        <v>13</v>
      </c>
      <c r="F258" s="12" t="s">
        <v>13</v>
      </c>
      <c r="G258" s="12" t="s">
        <v>313</v>
      </c>
      <c r="H258" s="17" t="s">
        <v>313</v>
      </c>
      <c r="I258" s="12" t="s">
        <v>13</v>
      </c>
      <c r="J258" s="16" t="s">
        <v>13</v>
      </c>
    </row>
    <row r="259" spans="2:10" ht="15" customHeight="1">
      <c r="B259" s="15" t="s">
        <v>13</v>
      </c>
      <c r="J259" s="16" t="s">
        <v>13</v>
      </c>
    </row>
    <row r="260" spans="2:10" ht="15" customHeight="1">
      <c r="B260" s="10" t="s">
        <v>477</v>
      </c>
      <c r="C260" s="11" t="s">
        <v>13</v>
      </c>
      <c r="D260" s="12" t="s">
        <v>13</v>
      </c>
      <c r="E260" s="11" t="s">
        <v>13</v>
      </c>
      <c r="F260" s="12" t="s">
        <v>13</v>
      </c>
      <c r="G260" s="12">
        <v>183827.41999999998</v>
      </c>
      <c r="H260" s="17">
        <v>3.5045315882600001E-2</v>
      </c>
      <c r="I260" s="12" t="s">
        <v>13</v>
      </c>
      <c r="J260" s="16" t="s">
        <v>13</v>
      </c>
    </row>
    <row r="261" spans="2:10" ht="15" customHeight="1">
      <c r="B261" s="15" t="s">
        <v>13</v>
      </c>
      <c r="J261" s="16" t="s">
        <v>13</v>
      </c>
    </row>
    <row r="262" spans="2:10" ht="15" customHeight="1">
      <c r="B262" s="10" t="s">
        <v>478</v>
      </c>
      <c r="C262" s="11" t="s">
        <v>13</v>
      </c>
      <c r="D262" s="12" t="s">
        <v>13</v>
      </c>
      <c r="E262" s="11" t="s">
        <v>13</v>
      </c>
      <c r="F262" s="12" t="s">
        <v>13</v>
      </c>
      <c r="G262" s="12">
        <v>132100.61000000002</v>
      </c>
      <c r="H262" s="17">
        <v>2.5183988361200005E-2</v>
      </c>
      <c r="I262" s="12" t="s">
        <v>13</v>
      </c>
      <c r="J262" s="16" t="s">
        <v>13</v>
      </c>
    </row>
    <row r="263" spans="2:10" ht="15" customHeight="1">
      <c r="B263" s="15" t="s">
        <v>479</v>
      </c>
      <c r="C263" s="18" t="s">
        <v>480</v>
      </c>
      <c r="D263" s="18" t="s">
        <v>13</v>
      </c>
      <c r="E263" s="18" t="s">
        <v>481</v>
      </c>
      <c r="F263" s="19">
        <v>6000</v>
      </c>
      <c r="G263" s="20">
        <v>29001.9</v>
      </c>
      <c r="H263" s="21">
        <v>5.5289942421000004E-3</v>
      </c>
      <c r="I263" s="20">
        <v>6.79</v>
      </c>
      <c r="J263" s="16" t="s">
        <v>13</v>
      </c>
    </row>
    <row r="264" spans="2:10" ht="15" customHeight="1">
      <c r="B264" s="15" t="s">
        <v>482</v>
      </c>
      <c r="C264" s="18" t="s">
        <v>483</v>
      </c>
      <c r="D264" s="18" t="s">
        <v>13</v>
      </c>
      <c r="E264" s="18" t="s">
        <v>481</v>
      </c>
      <c r="F264" s="19">
        <v>4000</v>
      </c>
      <c r="G264" s="20">
        <v>19419.080000000002</v>
      </c>
      <c r="H264" s="21">
        <v>3.7021016384000001E-3</v>
      </c>
      <c r="I264" s="20">
        <v>6.74</v>
      </c>
      <c r="J264" s="16" t="s">
        <v>13</v>
      </c>
    </row>
    <row r="265" spans="2:10" ht="15" customHeight="1">
      <c r="B265" s="15" t="s">
        <v>484</v>
      </c>
      <c r="C265" s="18" t="s">
        <v>485</v>
      </c>
      <c r="D265" s="18" t="s">
        <v>13</v>
      </c>
      <c r="E265" s="18" t="s">
        <v>486</v>
      </c>
      <c r="F265" s="19">
        <v>3000</v>
      </c>
      <c r="G265" s="20">
        <v>14325.14</v>
      </c>
      <c r="H265" s="21">
        <v>2.7309802659999998E-3</v>
      </c>
      <c r="I265" s="20">
        <v>7.14</v>
      </c>
      <c r="J265" s="16" t="s">
        <v>13</v>
      </c>
    </row>
    <row r="266" spans="2:10" ht="15" customHeight="1">
      <c r="B266" s="15" t="s">
        <v>391</v>
      </c>
      <c r="C266" s="18" t="s">
        <v>487</v>
      </c>
      <c r="D266" s="18" t="s">
        <v>13</v>
      </c>
      <c r="E266" s="18" t="s">
        <v>481</v>
      </c>
      <c r="F266" s="19">
        <v>2000</v>
      </c>
      <c r="G266" s="20">
        <v>9724.26</v>
      </c>
      <c r="H266" s="21">
        <v>1.8538570764999999E-3</v>
      </c>
      <c r="I266" s="20">
        <v>6.9</v>
      </c>
      <c r="J266" s="16" t="s">
        <v>13</v>
      </c>
    </row>
    <row r="267" spans="2:10" ht="15" customHeight="1">
      <c r="B267" s="15" t="s">
        <v>488</v>
      </c>
      <c r="C267" s="18" t="s">
        <v>489</v>
      </c>
      <c r="D267" s="18" t="s">
        <v>13</v>
      </c>
      <c r="E267" s="18" t="s">
        <v>481</v>
      </c>
      <c r="F267" s="19">
        <v>2000</v>
      </c>
      <c r="G267" s="20">
        <v>9677.98</v>
      </c>
      <c r="H267" s="21">
        <v>1.8450341423999999E-3</v>
      </c>
      <c r="I267" s="20">
        <v>6.71</v>
      </c>
      <c r="J267" s="16" t="s">
        <v>13</v>
      </c>
    </row>
    <row r="268" spans="2:10" ht="15" customHeight="1">
      <c r="B268" s="15" t="s">
        <v>15</v>
      </c>
      <c r="C268" s="18" t="s">
        <v>490</v>
      </c>
      <c r="D268" s="18" t="s">
        <v>13</v>
      </c>
      <c r="E268" s="18" t="s">
        <v>481</v>
      </c>
      <c r="F268" s="19">
        <v>2000</v>
      </c>
      <c r="G268" s="20">
        <v>9655.14</v>
      </c>
      <c r="H268" s="21">
        <v>1.8406798681000001E-3</v>
      </c>
      <c r="I268" s="20">
        <v>6.79</v>
      </c>
      <c r="J268" s="16" t="s">
        <v>13</v>
      </c>
    </row>
    <row r="269" spans="2:10" ht="15" customHeight="1">
      <c r="B269" s="15" t="s">
        <v>491</v>
      </c>
      <c r="C269" s="18" t="s">
        <v>492</v>
      </c>
      <c r="D269" s="18" t="s">
        <v>13</v>
      </c>
      <c r="E269" s="18" t="s">
        <v>493</v>
      </c>
      <c r="F269" s="19">
        <v>1500</v>
      </c>
      <c r="G269" s="20">
        <v>7279.07</v>
      </c>
      <c r="H269" s="21">
        <v>1.3876999823000001E-3</v>
      </c>
      <c r="I269" s="20">
        <v>6.76</v>
      </c>
      <c r="J269" s="16" t="s">
        <v>13</v>
      </c>
    </row>
    <row r="270" spans="2:10" ht="15" customHeight="1">
      <c r="B270" s="15" t="s">
        <v>391</v>
      </c>
      <c r="C270" s="18" t="s">
        <v>494</v>
      </c>
      <c r="D270" s="18" t="s">
        <v>13</v>
      </c>
      <c r="E270" s="18" t="s">
        <v>481</v>
      </c>
      <c r="F270" s="19">
        <v>1000</v>
      </c>
      <c r="G270" s="20">
        <v>4875.58</v>
      </c>
      <c r="H270" s="21">
        <v>9.2949267960000005E-4</v>
      </c>
      <c r="I270" s="20">
        <v>6.9</v>
      </c>
      <c r="J270" s="16" t="s">
        <v>13</v>
      </c>
    </row>
    <row r="271" spans="2:10" ht="15" customHeight="1">
      <c r="B271" s="15" t="s">
        <v>495</v>
      </c>
      <c r="C271" s="18" t="s">
        <v>496</v>
      </c>
      <c r="D271" s="18" t="s">
        <v>13</v>
      </c>
      <c r="E271" s="18" t="s">
        <v>481</v>
      </c>
      <c r="F271" s="19">
        <v>1000</v>
      </c>
      <c r="G271" s="20">
        <v>4871.62</v>
      </c>
      <c r="H271" s="21">
        <v>9.2873773540000002E-4</v>
      </c>
      <c r="I271" s="20">
        <v>6.73</v>
      </c>
      <c r="J271" s="16" t="s">
        <v>13</v>
      </c>
    </row>
    <row r="272" spans="2:10" ht="15" customHeight="1">
      <c r="B272" s="15" t="s">
        <v>497</v>
      </c>
      <c r="C272" s="18" t="s">
        <v>498</v>
      </c>
      <c r="D272" s="18" t="s">
        <v>13</v>
      </c>
      <c r="E272" s="18" t="s">
        <v>481</v>
      </c>
      <c r="F272" s="19">
        <v>1000</v>
      </c>
      <c r="G272" s="20">
        <v>4859.7299999999996</v>
      </c>
      <c r="H272" s="21">
        <v>9.2647099629999995E-4</v>
      </c>
      <c r="I272" s="20">
        <v>6.75</v>
      </c>
      <c r="J272" s="16" t="s">
        <v>13</v>
      </c>
    </row>
    <row r="273" spans="2:10" ht="15" customHeight="1">
      <c r="B273" s="15" t="s">
        <v>391</v>
      </c>
      <c r="C273" s="18" t="s">
        <v>499</v>
      </c>
      <c r="D273" s="18" t="s">
        <v>13</v>
      </c>
      <c r="E273" s="18" t="s">
        <v>481</v>
      </c>
      <c r="F273" s="19">
        <v>1000</v>
      </c>
      <c r="G273" s="20">
        <v>4837.24</v>
      </c>
      <c r="H273" s="21">
        <v>9.2218344680000002E-4</v>
      </c>
      <c r="I273" s="20">
        <v>6.9</v>
      </c>
      <c r="J273" s="16" t="s">
        <v>13</v>
      </c>
    </row>
    <row r="274" spans="2:10" ht="15" customHeight="1">
      <c r="B274" s="15" t="s">
        <v>500</v>
      </c>
      <c r="C274" s="18" t="s">
        <v>501</v>
      </c>
      <c r="D274" s="18" t="s">
        <v>13</v>
      </c>
      <c r="E274" s="18" t="s">
        <v>486</v>
      </c>
      <c r="F274" s="19">
        <v>1000</v>
      </c>
      <c r="G274" s="20">
        <v>4817.97</v>
      </c>
      <c r="H274" s="21">
        <v>9.1850976620000001E-4</v>
      </c>
      <c r="I274" s="20">
        <v>6.76</v>
      </c>
      <c r="J274" s="16" t="s">
        <v>13</v>
      </c>
    </row>
    <row r="275" spans="2:10" ht="15" customHeight="1">
      <c r="B275" s="15" t="s">
        <v>437</v>
      </c>
      <c r="C275" s="18" t="s">
        <v>502</v>
      </c>
      <c r="D275" s="18" t="s">
        <v>13</v>
      </c>
      <c r="E275" s="18" t="s">
        <v>481</v>
      </c>
      <c r="F275" s="19">
        <v>800</v>
      </c>
      <c r="G275" s="20">
        <v>3891.19</v>
      </c>
      <c r="H275" s="21">
        <v>7.4182612529999999E-4</v>
      </c>
      <c r="I275" s="20">
        <v>6.85</v>
      </c>
      <c r="J275" s="16" t="s">
        <v>13</v>
      </c>
    </row>
    <row r="276" spans="2:10" ht="15" customHeight="1">
      <c r="B276" s="15" t="s">
        <v>491</v>
      </c>
      <c r="C276" s="18" t="s">
        <v>503</v>
      </c>
      <c r="D276" s="18" t="s">
        <v>13</v>
      </c>
      <c r="E276" s="18" t="s">
        <v>493</v>
      </c>
      <c r="F276" s="19">
        <v>500</v>
      </c>
      <c r="G276" s="20">
        <v>2434.42</v>
      </c>
      <c r="H276" s="21">
        <v>4.6410387460000001E-4</v>
      </c>
      <c r="I276" s="20">
        <v>6.73</v>
      </c>
      <c r="J276" s="16" t="s">
        <v>13</v>
      </c>
    </row>
    <row r="277" spans="2:10" ht="15" customHeight="1">
      <c r="B277" s="15" t="s">
        <v>491</v>
      </c>
      <c r="C277" s="18" t="s">
        <v>504</v>
      </c>
      <c r="D277" s="18" t="s">
        <v>13</v>
      </c>
      <c r="E277" s="18" t="s">
        <v>493</v>
      </c>
      <c r="F277" s="19">
        <v>500</v>
      </c>
      <c r="G277" s="20">
        <v>2430.29</v>
      </c>
      <c r="H277" s="21">
        <v>4.6331652120000001E-4</v>
      </c>
      <c r="I277" s="20">
        <v>6.76</v>
      </c>
      <c r="J277" s="16" t="s">
        <v>13</v>
      </c>
    </row>
    <row r="278" spans="2:10" ht="15" customHeight="1">
      <c r="B278" s="15" t="s">
        <v>13</v>
      </c>
      <c r="J278" s="16" t="s">
        <v>13</v>
      </c>
    </row>
    <row r="279" spans="2:10" ht="15" customHeight="1">
      <c r="B279" s="10" t="s">
        <v>505</v>
      </c>
      <c r="C279" s="11" t="s">
        <v>13</v>
      </c>
      <c r="D279" s="12" t="s">
        <v>13</v>
      </c>
      <c r="E279" s="11" t="s">
        <v>13</v>
      </c>
      <c r="F279" s="12" t="s">
        <v>13</v>
      </c>
      <c r="G279" s="12" t="s">
        <v>313</v>
      </c>
      <c r="H279" s="17" t="s">
        <v>313</v>
      </c>
      <c r="I279" s="12" t="s">
        <v>13</v>
      </c>
      <c r="J279" s="16" t="s">
        <v>13</v>
      </c>
    </row>
    <row r="280" spans="2:10" ht="15" customHeight="1">
      <c r="B280" s="15" t="s">
        <v>13</v>
      </c>
      <c r="J280" s="16" t="s">
        <v>13</v>
      </c>
    </row>
    <row r="281" spans="2:10" ht="15" customHeight="1">
      <c r="B281" s="10" t="s">
        <v>506</v>
      </c>
      <c r="C281" s="11" t="s">
        <v>13</v>
      </c>
      <c r="D281" s="12" t="s">
        <v>13</v>
      </c>
      <c r="E281" s="11" t="s">
        <v>13</v>
      </c>
      <c r="F281" s="12" t="s">
        <v>13</v>
      </c>
      <c r="G281" s="12">
        <v>51726.810000000005</v>
      </c>
      <c r="H281" s="17">
        <v>9.8613275214000009E-3</v>
      </c>
      <c r="I281" s="12" t="s">
        <v>13</v>
      </c>
      <c r="J281" s="16" t="s">
        <v>13</v>
      </c>
    </row>
    <row r="282" spans="2:10" ht="15" customHeight="1">
      <c r="B282" s="15" t="s">
        <v>507</v>
      </c>
      <c r="C282" s="18" t="s">
        <v>508</v>
      </c>
      <c r="D282" s="18" t="s">
        <v>13</v>
      </c>
      <c r="E282" s="18" t="s">
        <v>317</v>
      </c>
      <c r="F282" s="19">
        <v>10000000</v>
      </c>
      <c r="G282" s="20">
        <v>9907.4500000000007</v>
      </c>
      <c r="H282" s="21">
        <v>1.8887808730999999E-3</v>
      </c>
      <c r="I282" s="20">
        <v>5.25</v>
      </c>
      <c r="J282" s="16" t="s">
        <v>13</v>
      </c>
    </row>
    <row r="283" spans="2:10" ht="15" customHeight="1">
      <c r="B283" s="15" t="s">
        <v>507</v>
      </c>
      <c r="C283" s="18" t="s">
        <v>509</v>
      </c>
      <c r="D283" s="18" t="s">
        <v>13</v>
      </c>
      <c r="E283" s="18" t="s">
        <v>317</v>
      </c>
      <c r="F283" s="19">
        <v>7600000</v>
      </c>
      <c r="G283" s="20">
        <v>7568.22</v>
      </c>
      <c r="H283" s="21">
        <v>1.4428242564000001E-3</v>
      </c>
      <c r="I283" s="20">
        <v>5.1100000000000003</v>
      </c>
      <c r="J283" s="16" t="s">
        <v>13</v>
      </c>
    </row>
    <row r="284" spans="2:10" ht="15" customHeight="1">
      <c r="B284" s="15" t="s">
        <v>507</v>
      </c>
      <c r="C284" s="18" t="s">
        <v>510</v>
      </c>
      <c r="D284" s="18" t="s">
        <v>13</v>
      </c>
      <c r="E284" s="18" t="s">
        <v>317</v>
      </c>
      <c r="F284" s="19">
        <v>7100000</v>
      </c>
      <c r="G284" s="20">
        <v>7056.51</v>
      </c>
      <c r="H284" s="21">
        <v>1.3452705912E-3</v>
      </c>
      <c r="I284" s="20">
        <v>5.1100000000000003</v>
      </c>
      <c r="J284" s="16" t="s">
        <v>13</v>
      </c>
    </row>
    <row r="285" spans="2:10" ht="15" customHeight="1">
      <c r="B285" s="15" t="s">
        <v>511</v>
      </c>
      <c r="C285" s="18" t="s">
        <v>512</v>
      </c>
      <c r="D285" s="18" t="s">
        <v>13</v>
      </c>
      <c r="E285" s="18" t="s">
        <v>317</v>
      </c>
      <c r="F285" s="19">
        <v>6300000</v>
      </c>
      <c r="G285" s="20">
        <v>6267.47</v>
      </c>
      <c r="H285" s="21">
        <v>1.1948460460000001E-3</v>
      </c>
      <c r="I285" s="20">
        <v>5.12</v>
      </c>
      <c r="J285" s="16" t="s">
        <v>13</v>
      </c>
    </row>
    <row r="286" spans="2:10" ht="15" customHeight="1">
      <c r="B286" s="15" t="s">
        <v>507</v>
      </c>
      <c r="C286" s="18" t="s">
        <v>513</v>
      </c>
      <c r="D286" s="18" t="s">
        <v>13</v>
      </c>
      <c r="E286" s="18" t="s">
        <v>317</v>
      </c>
      <c r="F286" s="19">
        <v>5500000</v>
      </c>
      <c r="G286" s="20">
        <v>5487.97</v>
      </c>
      <c r="H286" s="21">
        <v>1.0462402301E-3</v>
      </c>
      <c r="I286" s="20">
        <v>5</v>
      </c>
      <c r="J286" s="16" t="s">
        <v>13</v>
      </c>
    </row>
    <row r="287" spans="2:10" ht="15" customHeight="1">
      <c r="B287" s="15" t="s">
        <v>511</v>
      </c>
      <c r="C287" s="18" t="s">
        <v>514</v>
      </c>
      <c r="D287" s="18" t="s">
        <v>13</v>
      </c>
      <c r="E287" s="18" t="s">
        <v>317</v>
      </c>
      <c r="F287" s="19">
        <v>4400000</v>
      </c>
      <c r="G287" s="20">
        <v>4390.38</v>
      </c>
      <c r="H287" s="21">
        <v>8.3699294660000004E-4</v>
      </c>
      <c r="I287" s="20">
        <v>5</v>
      </c>
      <c r="J287" s="16" t="s">
        <v>13</v>
      </c>
    </row>
    <row r="288" spans="2:10" ht="15" customHeight="1">
      <c r="B288" s="15" t="s">
        <v>507</v>
      </c>
      <c r="C288" s="18" t="s">
        <v>515</v>
      </c>
      <c r="D288" s="18" t="s">
        <v>13</v>
      </c>
      <c r="E288" s="18" t="s">
        <v>317</v>
      </c>
      <c r="F288" s="19">
        <v>4100000</v>
      </c>
      <c r="G288" s="20">
        <v>4087.12</v>
      </c>
      <c r="H288" s="21">
        <v>7.7917870710000003E-4</v>
      </c>
      <c r="I288" s="20">
        <v>5</v>
      </c>
      <c r="J288" s="16" t="s">
        <v>13</v>
      </c>
    </row>
    <row r="289" spans="2:10" ht="15" customHeight="1">
      <c r="B289" s="15" t="s">
        <v>516</v>
      </c>
      <c r="C289" s="18" t="s">
        <v>517</v>
      </c>
      <c r="D289" s="18" t="s">
        <v>13</v>
      </c>
      <c r="E289" s="18" t="s">
        <v>317</v>
      </c>
      <c r="F289" s="19">
        <v>3800000</v>
      </c>
      <c r="G289" s="20">
        <v>3773.11</v>
      </c>
      <c r="H289" s="21">
        <v>7.1931506089999999E-4</v>
      </c>
      <c r="I289" s="20">
        <v>5.0999999999999996</v>
      </c>
      <c r="J289" s="16" t="s">
        <v>13</v>
      </c>
    </row>
    <row r="290" spans="2:10" ht="15" customHeight="1">
      <c r="B290" s="15" t="s">
        <v>511</v>
      </c>
      <c r="C290" s="18" t="s">
        <v>518</v>
      </c>
      <c r="D290" s="18" t="s">
        <v>13</v>
      </c>
      <c r="E290" s="18" t="s">
        <v>317</v>
      </c>
      <c r="F290" s="19">
        <v>1800000</v>
      </c>
      <c r="G290" s="20">
        <v>1788.98</v>
      </c>
      <c r="H290" s="21">
        <v>3.410555901E-4</v>
      </c>
      <c r="I290" s="20">
        <v>5.1100000000000003</v>
      </c>
      <c r="J290" s="16" t="s">
        <v>13</v>
      </c>
    </row>
    <row r="291" spans="2:10" ht="15" customHeight="1">
      <c r="B291" s="15" t="s">
        <v>516</v>
      </c>
      <c r="C291" s="18" t="s">
        <v>519</v>
      </c>
      <c r="D291" s="18" t="s">
        <v>13</v>
      </c>
      <c r="E291" s="18" t="s">
        <v>317</v>
      </c>
      <c r="F291" s="19">
        <v>1400000</v>
      </c>
      <c r="G291" s="20">
        <v>1399.6</v>
      </c>
      <c r="H291" s="21">
        <v>2.6682321989999997E-4</v>
      </c>
      <c r="I291" s="20">
        <v>5.19</v>
      </c>
      <c r="J291" s="16" t="s">
        <v>13</v>
      </c>
    </row>
    <row r="292" spans="2:10" ht="15" customHeight="1">
      <c r="B292" s="15" t="s">
        <v>13</v>
      </c>
      <c r="J292" s="16" t="s">
        <v>13</v>
      </c>
    </row>
    <row r="293" spans="2:10" ht="15" customHeight="1">
      <c r="B293" s="10" t="s">
        <v>520</v>
      </c>
      <c r="C293" s="11" t="s">
        <v>13</v>
      </c>
      <c r="D293" s="12" t="s">
        <v>13</v>
      </c>
      <c r="E293" s="11" t="s">
        <v>13</v>
      </c>
      <c r="F293" s="12" t="s">
        <v>13</v>
      </c>
      <c r="G293" s="12">
        <v>9516.6</v>
      </c>
      <c r="H293" s="17">
        <v>1.8142682583000001E-3</v>
      </c>
      <c r="I293" s="12" t="s">
        <v>13</v>
      </c>
      <c r="J293" s="16" t="s">
        <v>13</v>
      </c>
    </row>
    <row r="294" spans="2:10" ht="15" customHeight="1">
      <c r="B294" s="15" t="s">
        <v>521</v>
      </c>
      <c r="C294" s="18" t="s">
        <v>522</v>
      </c>
      <c r="D294" s="18" t="s">
        <v>13</v>
      </c>
      <c r="E294" s="18" t="s">
        <v>523</v>
      </c>
      <c r="F294" s="19">
        <v>3150000</v>
      </c>
      <c r="G294" s="20">
        <v>5512.5</v>
      </c>
      <c r="H294" s="21">
        <v>1.0509166902000001E-3</v>
      </c>
      <c r="I294" s="20" t="s">
        <v>13</v>
      </c>
      <c r="J294" s="16" t="s">
        <v>13</v>
      </c>
    </row>
    <row r="295" spans="2:10" ht="15" customHeight="1">
      <c r="B295" s="15" t="s">
        <v>524</v>
      </c>
      <c r="C295" s="18" t="s">
        <v>525</v>
      </c>
      <c r="D295" s="18" t="s">
        <v>13</v>
      </c>
      <c r="E295" s="18" t="s">
        <v>523</v>
      </c>
      <c r="F295" s="19">
        <v>3000000</v>
      </c>
      <c r="G295" s="20">
        <v>4004.1</v>
      </c>
      <c r="H295" s="21">
        <v>7.6335156809999999E-4</v>
      </c>
      <c r="I295" s="20" t="s">
        <v>13</v>
      </c>
      <c r="J295" s="16" t="s">
        <v>13</v>
      </c>
    </row>
    <row r="296" spans="2:10" ht="15" customHeight="1">
      <c r="B296" s="15" t="s">
        <v>13</v>
      </c>
      <c r="J296" s="16" t="s">
        <v>13</v>
      </c>
    </row>
    <row r="297" spans="2:10" ht="15" customHeight="1">
      <c r="B297" s="10" t="s">
        <v>526</v>
      </c>
      <c r="C297" s="11" t="s">
        <v>13</v>
      </c>
      <c r="D297" s="12" t="s">
        <v>13</v>
      </c>
      <c r="E297" s="11" t="s">
        <v>13</v>
      </c>
      <c r="F297" s="12" t="s">
        <v>13</v>
      </c>
      <c r="G297" s="12" t="s">
        <v>313</v>
      </c>
      <c r="H297" s="17" t="s">
        <v>313</v>
      </c>
      <c r="I297" s="12" t="s">
        <v>13</v>
      </c>
      <c r="J297" s="16" t="s">
        <v>13</v>
      </c>
    </row>
    <row r="298" spans="2:10" ht="15" customHeight="1">
      <c r="B298" s="15" t="s">
        <v>13</v>
      </c>
      <c r="J298" s="16" t="s">
        <v>13</v>
      </c>
    </row>
    <row r="299" spans="2:10" ht="15" customHeight="1">
      <c r="B299" s="10" t="s">
        <v>527</v>
      </c>
      <c r="C299" s="11" t="s">
        <v>13</v>
      </c>
      <c r="D299" s="12" t="s">
        <v>13</v>
      </c>
      <c r="E299" s="11" t="s">
        <v>13</v>
      </c>
      <c r="F299" s="12" t="s">
        <v>13</v>
      </c>
      <c r="G299" s="12">
        <v>155787.96</v>
      </c>
      <c r="H299" s="17">
        <v>2.96998035933E-2</v>
      </c>
      <c r="I299" s="12" t="s">
        <v>13</v>
      </c>
      <c r="J299" s="16" t="s">
        <v>13</v>
      </c>
    </row>
    <row r="300" spans="2:10" ht="15" customHeight="1">
      <c r="B300" s="15" t="s">
        <v>13</v>
      </c>
      <c r="J300" s="16" t="s">
        <v>13</v>
      </c>
    </row>
    <row r="301" spans="2:10" ht="15" customHeight="1">
      <c r="B301" s="10" t="s">
        <v>528</v>
      </c>
      <c r="C301" s="11" t="s">
        <v>13</v>
      </c>
      <c r="D301" s="12" t="s">
        <v>13</v>
      </c>
      <c r="E301" s="11" t="s">
        <v>13</v>
      </c>
      <c r="F301" s="12" t="s">
        <v>13</v>
      </c>
      <c r="G301" s="12">
        <v>8775.6294392999989</v>
      </c>
      <c r="H301" s="17">
        <v>1.6730077905000001E-3</v>
      </c>
      <c r="I301" s="12" t="s">
        <v>13</v>
      </c>
      <c r="J301" s="16" t="s">
        <v>13</v>
      </c>
    </row>
    <row r="302" spans="2:10" ht="15" customHeight="1">
      <c r="B302" s="15" t="s">
        <v>529</v>
      </c>
      <c r="C302" s="18"/>
      <c r="D302" s="18" t="s">
        <v>13</v>
      </c>
      <c r="E302" s="18"/>
      <c r="G302" s="20">
        <v>8775.6294392999989</v>
      </c>
      <c r="H302" s="21">
        <v>1.6730077905000001E-3</v>
      </c>
      <c r="I302" s="20" t="s">
        <v>13</v>
      </c>
      <c r="J302" s="16" t="s">
        <v>13</v>
      </c>
    </row>
    <row r="303" spans="2:10" ht="15" customHeight="1">
      <c r="B303" s="15" t="s">
        <v>13</v>
      </c>
      <c r="J303" s="16" t="s">
        <v>13</v>
      </c>
    </row>
    <row r="304" spans="2:10" ht="15" customHeight="1">
      <c r="B304" s="27" t="s">
        <v>530</v>
      </c>
      <c r="C304" s="28" t="s">
        <v>13</v>
      </c>
      <c r="D304" s="28" t="s">
        <v>13</v>
      </c>
      <c r="E304" s="28" t="s">
        <v>13</v>
      </c>
      <c r="F304" s="28" t="s">
        <v>13</v>
      </c>
      <c r="G304" s="28">
        <v>14404.537202030013</v>
      </c>
      <c r="H304" s="29">
        <v>2.7461167458697746E-3</v>
      </c>
      <c r="I304" s="28" t="s">
        <v>13</v>
      </c>
      <c r="J304" s="30" t="s">
        <v>13</v>
      </c>
    </row>
    <row r="305" spans="2:10" ht="15" customHeight="1">
      <c r="B305" s="27" t="s">
        <v>531</v>
      </c>
      <c r="C305" s="28" t="s">
        <v>13</v>
      </c>
      <c r="D305" s="28" t="s">
        <v>13</v>
      </c>
      <c r="E305" s="28" t="s">
        <v>13</v>
      </c>
      <c r="F305" s="28" t="s">
        <v>13</v>
      </c>
      <c r="G305" s="28">
        <v>5245420.5466413302</v>
      </c>
      <c r="H305" s="29">
        <v>0.99999999998826949</v>
      </c>
      <c r="I305" s="28" t="s">
        <v>13</v>
      </c>
      <c r="J305" s="30" t="s">
        <v>13</v>
      </c>
    </row>
    <row r="306" spans="2:10" ht="15" customHeight="1">
      <c r="B306" s="27" t="s">
        <v>13</v>
      </c>
      <c r="C306" s="28" t="s">
        <v>13</v>
      </c>
      <c r="D306" s="28" t="s">
        <v>13</v>
      </c>
      <c r="E306" s="28" t="s">
        <v>13</v>
      </c>
      <c r="F306" s="28" t="s">
        <v>13</v>
      </c>
      <c r="G306" s="28" t="s">
        <v>13</v>
      </c>
      <c r="H306" s="29" t="s">
        <v>13</v>
      </c>
      <c r="I306" s="28" t="s">
        <v>13</v>
      </c>
      <c r="J306" s="30" t="s">
        <v>13</v>
      </c>
    </row>
    <row r="307" spans="2:10" ht="15" customHeight="1">
      <c r="B307" s="27" t="s">
        <v>532</v>
      </c>
      <c r="C307" s="28" t="s">
        <v>13</v>
      </c>
      <c r="D307" s="28" t="s">
        <v>13</v>
      </c>
      <c r="E307" s="28" t="s">
        <v>13</v>
      </c>
      <c r="F307" s="28" t="s">
        <v>13</v>
      </c>
      <c r="G307" s="28">
        <v>0</v>
      </c>
      <c r="H307" s="29">
        <v>0</v>
      </c>
      <c r="I307" s="28" t="s">
        <v>13</v>
      </c>
      <c r="J307" s="30" t="s">
        <v>13</v>
      </c>
    </row>
    <row r="308" spans="2:10" ht="15" customHeight="1">
      <c r="B308" s="15" t="s">
        <v>533</v>
      </c>
      <c r="C308" s="11" t="s">
        <v>13</v>
      </c>
      <c r="D308" s="11" t="s">
        <v>13</v>
      </c>
      <c r="E308" s="11" t="s">
        <v>13</v>
      </c>
      <c r="F308" s="11" t="s">
        <v>13</v>
      </c>
      <c r="G308" s="20">
        <v>10000</v>
      </c>
      <c r="H308" s="21">
        <v>1.9064248349740141E-3</v>
      </c>
      <c r="I308" s="11" t="s">
        <v>13</v>
      </c>
      <c r="J308" s="16" t="s">
        <v>13</v>
      </c>
    </row>
    <row r="309" spans="2:10" ht="15" customHeight="1">
      <c r="B309" s="15" t="s">
        <v>534</v>
      </c>
      <c r="C309" s="11" t="s">
        <v>13</v>
      </c>
      <c r="D309" s="11" t="s">
        <v>13</v>
      </c>
      <c r="E309" s="11" t="s">
        <v>13</v>
      </c>
      <c r="F309" s="11" t="s">
        <v>13</v>
      </c>
      <c r="G309" s="20">
        <v>7500</v>
      </c>
      <c r="H309" s="21">
        <v>1.4298186262305106E-3</v>
      </c>
      <c r="I309" s="11" t="s">
        <v>13</v>
      </c>
      <c r="J309" s="16" t="s">
        <v>13</v>
      </c>
    </row>
    <row r="310" spans="2:10" ht="15" customHeight="1">
      <c r="B310" s="15" t="s">
        <v>535</v>
      </c>
      <c r="C310" s="11" t="s">
        <v>13</v>
      </c>
      <c r="D310" s="11" t="s">
        <v>13</v>
      </c>
      <c r="E310" s="11" t="s">
        <v>13</v>
      </c>
      <c r="F310" s="11" t="s">
        <v>13</v>
      </c>
      <c r="G310" s="20">
        <v>-10000</v>
      </c>
      <c r="H310" s="21">
        <v>-1.9064248349740141E-3</v>
      </c>
      <c r="I310" s="11" t="s">
        <v>13</v>
      </c>
      <c r="J310" s="16" t="s">
        <v>13</v>
      </c>
    </row>
    <row r="311" spans="2:10" ht="15" customHeight="1">
      <c r="B311" s="15" t="s">
        <v>536</v>
      </c>
      <c r="C311" s="11" t="s">
        <v>13</v>
      </c>
      <c r="D311" s="11" t="s">
        <v>13</v>
      </c>
      <c r="E311" s="11" t="s">
        <v>13</v>
      </c>
      <c r="F311" s="11" t="s">
        <v>13</v>
      </c>
      <c r="G311" s="20">
        <v>-7500</v>
      </c>
      <c r="H311" s="21">
        <v>-1.4298186262305106E-3</v>
      </c>
      <c r="I311" s="11" t="s">
        <v>13</v>
      </c>
      <c r="J311" s="16" t="s">
        <v>13</v>
      </c>
    </row>
    <row r="312" spans="2:10" ht="15" customHeight="1">
      <c r="B312" s="31" t="s">
        <v>13</v>
      </c>
      <c r="C312" s="31" t="s">
        <v>13</v>
      </c>
      <c r="D312" s="31" t="s">
        <v>13</v>
      </c>
      <c r="E312" s="31" t="s">
        <v>13</v>
      </c>
      <c r="F312" s="31" t="s">
        <v>13</v>
      </c>
      <c r="G312" s="31" t="s">
        <v>13</v>
      </c>
      <c r="H312" s="31" t="s">
        <v>13</v>
      </c>
      <c r="I312" s="31" t="s">
        <v>13</v>
      </c>
      <c r="J312" s="31" t="s">
        <v>13</v>
      </c>
    </row>
    <row r="314" spans="2:10" ht="15" customHeight="1">
      <c r="B314" s="28" t="s">
        <v>537</v>
      </c>
      <c r="C314" s="28" t="s">
        <v>13</v>
      </c>
      <c r="D314" s="28" t="s">
        <v>13</v>
      </c>
      <c r="E314" s="28" t="s">
        <v>13</v>
      </c>
      <c r="F314" s="28" t="s">
        <v>13</v>
      </c>
      <c r="G314" s="28" t="s">
        <v>13</v>
      </c>
      <c r="H314" s="28" t="s">
        <v>13</v>
      </c>
    </row>
    <row r="315" spans="2:10" ht="15" customHeight="1">
      <c r="B315" s="28" t="s">
        <v>3</v>
      </c>
      <c r="C315" s="28" t="s">
        <v>4</v>
      </c>
      <c r="D315" s="28" t="s">
        <v>5</v>
      </c>
      <c r="E315" s="28" t="s">
        <v>6</v>
      </c>
      <c r="F315" s="28" t="s">
        <v>7</v>
      </c>
      <c r="G315" s="28" t="s">
        <v>8</v>
      </c>
      <c r="H315" s="28" t="s">
        <v>9</v>
      </c>
    </row>
    <row r="316" spans="2:10" ht="15" customHeight="1">
      <c r="B316" s="10" t="s">
        <v>538</v>
      </c>
      <c r="C316" s="11" t="s">
        <v>13</v>
      </c>
      <c r="D316" s="11" t="s">
        <v>13</v>
      </c>
      <c r="E316" s="11" t="s">
        <v>13</v>
      </c>
      <c r="F316" s="11" t="s">
        <v>13</v>
      </c>
      <c r="G316" s="11" t="s">
        <v>13</v>
      </c>
      <c r="H316" s="11" t="s">
        <v>13</v>
      </c>
    </row>
    <row r="317" spans="2:10" ht="15" customHeight="1">
      <c r="B317" s="15" t="s">
        <v>539</v>
      </c>
      <c r="C317" s="18"/>
      <c r="D317" s="18" t="s">
        <v>13</v>
      </c>
      <c r="E317" s="18" t="s">
        <v>69</v>
      </c>
      <c r="F317" s="19">
        <v>80925</v>
      </c>
      <c r="G317" s="20">
        <v>19292.52</v>
      </c>
      <c r="H317" s="21">
        <v>3.6779739256999999E-3</v>
      </c>
      <c r="I317" s="20" t="s">
        <v>13</v>
      </c>
      <c r="J317" s="16" t="s">
        <v>13</v>
      </c>
    </row>
    <row r="318" spans="2:10" ht="15" customHeight="1">
      <c r="B318" s="15" t="s">
        <v>540</v>
      </c>
      <c r="C318" s="18"/>
      <c r="D318" s="18" t="s">
        <v>13</v>
      </c>
      <c r="E318" s="18" t="s">
        <v>25</v>
      </c>
      <c r="F318" s="19">
        <v>1468750</v>
      </c>
      <c r="G318" s="20">
        <v>17099.189999999999</v>
      </c>
      <c r="H318" s="21">
        <v>3.2598320473000001E-3</v>
      </c>
      <c r="I318" s="20" t="s">
        <v>13</v>
      </c>
      <c r="J318" s="16" t="s">
        <v>13</v>
      </c>
    </row>
    <row r="319" spans="2:10" ht="15" customHeight="1">
      <c r="B319" s="15" t="s">
        <v>541</v>
      </c>
      <c r="C319" s="18"/>
      <c r="D319" s="18" t="s">
        <v>13</v>
      </c>
      <c r="E319" s="18" t="s">
        <v>17</v>
      </c>
      <c r="F319" s="19">
        <v>700000</v>
      </c>
      <c r="G319" s="20">
        <v>10189.9</v>
      </c>
      <c r="H319" s="21">
        <v>1.9426278425E-3</v>
      </c>
      <c r="I319" s="20" t="s">
        <v>13</v>
      </c>
      <c r="J319" s="16" t="s">
        <v>13</v>
      </c>
    </row>
    <row r="320" spans="2:10" ht="15" customHeight="1">
      <c r="B320" s="15" t="s">
        <v>542</v>
      </c>
      <c r="C320" s="18"/>
      <c r="D320" s="18" t="s">
        <v>13</v>
      </c>
      <c r="E320" s="18" t="s">
        <v>235</v>
      </c>
      <c r="F320" s="19">
        <v>573300</v>
      </c>
      <c r="G320" s="20">
        <v>8465.35</v>
      </c>
      <c r="H320" s="21">
        <v>1.6138553476E-3</v>
      </c>
      <c r="I320" s="20" t="s">
        <v>13</v>
      </c>
      <c r="J320" s="16" t="s">
        <v>13</v>
      </c>
    </row>
    <row r="321" spans="2:10" ht="15" customHeight="1">
      <c r="B321" s="15" t="s">
        <v>543</v>
      </c>
      <c r="C321" s="18"/>
      <c r="D321" s="18" t="s">
        <v>13</v>
      </c>
      <c r="E321" s="18" t="s">
        <v>37</v>
      </c>
      <c r="F321" s="19">
        <v>2688225</v>
      </c>
      <c r="G321" s="20">
        <v>7537.78</v>
      </c>
      <c r="H321" s="21">
        <v>1.4370210991999999E-3</v>
      </c>
      <c r="I321" s="20" t="s">
        <v>13</v>
      </c>
      <c r="J321" s="16" t="s">
        <v>13</v>
      </c>
    </row>
    <row r="322" spans="2:10" ht="15" customHeight="1">
      <c r="B322" s="15" t="s">
        <v>544</v>
      </c>
      <c r="C322" s="18"/>
      <c r="D322" s="18" t="s">
        <v>13</v>
      </c>
      <c r="E322" s="18" t="s">
        <v>128</v>
      </c>
      <c r="F322" s="19">
        <v>1130400</v>
      </c>
      <c r="G322" s="20">
        <v>7523.38</v>
      </c>
      <c r="H322" s="21">
        <v>1.4342758474E-3</v>
      </c>
      <c r="I322" s="20" t="s">
        <v>13</v>
      </c>
      <c r="J322" s="16" t="s">
        <v>13</v>
      </c>
    </row>
    <row r="323" spans="2:10" ht="15" customHeight="1">
      <c r="B323" s="15" t="s">
        <v>545</v>
      </c>
      <c r="C323" s="18"/>
      <c r="D323" s="18" t="s">
        <v>13</v>
      </c>
      <c r="E323" s="18" t="s">
        <v>144</v>
      </c>
      <c r="F323" s="19">
        <v>287875</v>
      </c>
      <c r="G323" s="20">
        <v>6879.64</v>
      </c>
      <c r="H323" s="21">
        <v>1.3115516551000001E-3</v>
      </c>
      <c r="I323" s="20" t="s">
        <v>13</v>
      </c>
      <c r="J323" s="16" t="s">
        <v>13</v>
      </c>
    </row>
    <row r="324" spans="2:10" ht="15" customHeight="1">
      <c r="B324" s="15" t="s">
        <v>546</v>
      </c>
      <c r="C324" s="18"/>
      <c r="D324" s="18" t="s">
        <v>13</v>
      </c>
      <c r="E324" s="18" t="s">
        <v>34</v>
      </c>
      <c r="F324" s="19">
        <v>743600</v>
      </c>
      <c r="G324" s="20">
        <v>4052.62</v>
      </c>
      <c r="H324" s="21">
        <v>7.7260154139999996E-4</v>
      </c>
      <c r="I324" s="20" t="s">
        <v>13</v>
      </c>
      <c r="J324" s="16" t="s">
        <v>13</v>
      </c>
    </row>
    <row r="325" spans="2:10" ht="15" customHeight="1">
      <c r="B325" s="15" t="s">
        <v>547</v>
      </c>
      <c r="C325" s="18"/>
      <c r="D325" s="18" t="s">
        <v>13</v>
      </c>
      <c r="E325" s="18" t="s">
        <v>22</v>
      </c>
      <c r="F325" s="19">
        <v>2437500</v>
      </c>
      <c r="G325" s="20">
        <v>3309.15</v>
      </c>
      <c r="H325" s="21">
        <v>6.3086457420000002E-4</v>
      </c>
      <c r="I325" s="20" t="s">
        <v>13</v>
      </c>
      <c r="J325" s="16" t="s">
        <v>13</v>
      </c>
    </row>
    <row r="326" spans="2:10" ht="15" customHeight="1">
      <c r="B326" s="15" t="s">
        <v>548</v>
      </c>
      <c r="C326" s="18"/>
      <c r="D326" s="18" t="s">
        <v>13</v>
      </c>
      <c r="E326" s="18" t="s">
        <v>37</v>
      </c>
      <c r="F326" s="19">
        <v>79050</v>
      </c>
      <c r="G326" s="20">
        <v>3028.88</v>
      </c>
      <c r="H326" s="21">
        <v>5.7743320539999999E-4</v>
      </c>
      <c r="I326" s="20" t="s">
        <v>13</v>
      </c>
      <c r="J326" s="16" t="s">
        <v>13</v>
      </c>
    </row>
    <row r="327" spans="2:10" ht="15" customHeight="1">
      <c r="B327" s="15" t="s">
        <v>549</v>
      </c>
      <c r="C327" s="18"/>
      <c r="D327" s="18" t="s">
        <v>13</v>
      </c>
      <c r="E327" s="18" t="s">
        <v>31</v>
      </c>
      <c r="F327" s="19">
        <v>2780000</v>
      </c>
      <c r="G327" s="20">
        <v>2069.15</v>
      </c>
      <c r="H327" s="21">
        <v>3.9446789469999998E-4</v>
      </c>
      <c r="I327" s="20" t="s">
        <v>13</v>
      </c>
      <c r="J327" s="16" t="s">
        <v>13</v>
      </c>
    </row>
    <row r="328" spans="2:10" ht="15" customHeight="1">
      <c r="B328" s="15" t="s">
        <v>550</v>
      </c>
      <c r="C328" s="18"/>
      <c r="D328" s="18" t="s">
        <v>13</v>
      </c>
      <c r="E328" s="18" t="s">
        <v>17</v>
      </c>
      <c r="F328" s="19">
        <v>-1885100</v>
      </c>
      <c r="G328" s="20">
        <v>-18903.78</v>
      </c>
      <c r="H328" s="21">
        <v>-3.6038635666000001E-3</v>
      </c>
      <c r="I328" s="20" t="s">
        <v>13</v>
      </c>
      <c r="J328" s="16" t="s">
        <v>13</v>
      </c>
    </row>
    <row r="332" spans="2:10" ht="15" customHeight="1">
      <c r="B332" s="3" t="s">
        <v>551</v>
      </c>
      <c r="C332" s="2"/>
      <c r="D332" s="2"/>
      <c r="E332" s="2"/>
      <c r="F332" s="2"/>
      <c r="G332" s="2"/>
      <c r="H332" s="2"/>
      <c r="I332" s="2"/>
    </row>
    <row r="336" spans="2:10" ht="15" customHeight="1">
      <c r="B336" s="33" t="s">
        <v>552</v>
      </c>
    </row>
    <row r="337" spans="2:5" ht="12.5">
      <c r="B337" s="18" t="s">
        <v>553</v>
      </c>
      <c r="C337" s="18" t="s">
        <v>313</v>
      </c>
    </row>
    <row r="338" spans="2:5" ht="12.5">
      <c r="B338" s="18" t="s">
        <v>554</v>
      </c>
      <c r="C338" s="18" t="s">
        <v>555</v>
      </c>
    </row>
    <row r="339" spans="2:5" ht="53">
      <c r="B339" s="34" t="s">
        <v>556</v>
      </c>
      <c r="C339" s="34" t="s">
        <v>7</v>
      </c>
      <c r="D339" s="34" t="s">
        <v>557</v>
      </c>
      <c r="E339" s="35" t="s">
        <v>558</v>
      </c>
    </row>
    <row r="340" spans="2:5" ht="12.5">
      <c r="B340" s="15" t="s">
        <v>310</v>
      </c>
      <c r="C340" s="15">
        <v>29743</v>
      </c>
      <c r="D340" s="18">
        <v>33314.81</v>
      </c>
      <c r="E340" s="36">
        <v>0.63512181156440628</v>
      </c>
    </row>
    <row r="341" spans="2:5" ht="12.5">
      <c r="B341" s="31" t="s">
        <v>13</v>
      </c>
      <c r="C341" s="31" t="s">
        <v>13</v>
      </c>
      <c r="D341" s="31" t="s">
        <v>13</v>
      </c>
      <c r="E341" s="31" t="s">
        <v>13</v>
      </c>
    </row>
    <row r="342" spans="2:5" ht="12.5">
      <c r="B342" s="33" t="s">
        <v>559</v>
      </c>
    </row>
    <row r="344" spans="2:5" ht="35" customHeight="1">
      <c r="B344" s="34" t="s">
        <v>560</v>
      </c>
      <c r="C344" s="34" t="s">
        <v>561</v>
      </c>
      <c r="D344" s="34" t="s">
        <v>562</v>
      </c>
      <c r="E344" s="35" t="s">
        <v>563</v>
      </c>
    </row>
    <row r="345" spans="2:5" ht="12.5">
      <c r="B345" s="15" t="s">
        <v>564</v>
      </c>
      <c r="C345" s="37">
        <v>408.33</v>
      </c>
      <c r="D345" s="37">
        <v>407.27</v>
      </c>
      <c r="E345" s="36" t="s">
        <v>565</v>
      </c>
    </row>
    <row r="346" spans="2:5" ht="12.5">
      <c r="B346" s="15" t="s">
        <v>566</v>
      </c>
      <c r="C346" s="37">
        <v>43.58</v>
      </c>
      <c r="D346" s="37">
        <v>43.3</v>
      </c>
      <c r="E346" s="36">
        <v>0.16</v>
      </c>
    </row>
    <row r="347" spans="2:5" ht="12.5">
      <c r="B347" s="15" t="s">
        <v>567</v>
      </c>
      <c r="C347" s="37">
        <v>25.85</v>
      </c>
      <c r="D347" s="37">
        <v>25.78</v>
      </c>
      <c r="E347" s="36" t="s">
        <v>565</v>
      </c>
    </row>
    <row r="348" spans="2:5" ht="12.5">
      <c r="B348" s="15" t="s">
        <v>568</v>
      </c>
      <c r="C348" s="37">
        <v>25.99</v>
      </c>
      <c r="D348" s="37">
        <v>25.92</v>
      </c>
      <c r="E348" s="36" t="s">
        <v>565</v>
      </c>
    </row>
    <row r="349" spans="2:5" ht="12.5">
      <c r="B349" s="15" t="s">
        <v>569</v>
      </c>
      <c r="C349" s="37">
        <v>455.76</v>
      </c>
      <c r="D349" s="37">
        <v>454.79</v>
      </c>
      <c r="E349" s="36" t="s">
        <v>565</v>
      </c>
    </row>
    <row r="350" spans="2:5" ht="12.5">
      <c r="B350" s="15" t="s">
        <v>570</v>
      </c>
      <c r="C350" s="37">
        <v>71.239999999999995</v>
      </c>
      <c r="D350" s="37">
        <v>70.930000000000007</v>
      </c>
      <c r="E350" s="36">
        <v>0.16</v>
      </c>
    </row>
    <row r="351" spans="2:5" ht="12.5">
      <c r="B351" s="15" t="s">
        <v>571</v>
      </c>
      <c r="C351" s="37">
        <v>29.53</v>
      </c>
      <c r="D351" s="37">
        <v>29.47</v>
      </c>
      <c r="E351" s="36" t="s">
        <v>565</v>
      </c>
    </row>
    <row r="352" spans="2:5" ht="12.5">
      <c r="B352" s="15" t="s">
        <v>572</v>
      </c>
      <c r="C352" s="37">
        <v>29.13</v>
      </c>
      <c r="D352" s="37">
        <v>29.07</v>
      </c>
      <c r="E352" s="36" t="s">
        <v>565</v>
      </c>
    </row>
    <row r="353" spans="2:9" ht="12.5">
      <c r="B353" s="31" t="s">
        <v>13</v>
      </c>
      <c r="C353" s="31" t="s">
        <v>13</v>
      </c>
      <c r="D353" s="31" t="s">
        <v>13</v>
      </c>
      <c r="E353" s="31" t="s">
        <v>13</v>
      </c>
    </row>
    <row r="354" spans="2:9" ht="12.5">
      <c r="B354" s="18" t="s">
        <v>573</v>
      </c>
      <c r="C354" s="18" t="s">
        <v>574</v>
      </c>
    </row>
    <row r="355" spans="2:9" ht="12.5">
      <c r="B355" s="18" t="s">
        <v>575</v>
      </c>
      <c r="C355" s="18" t="s">
        <v>313</v>
      </c>
    </row>
    <row r="356" spans="2:9" ht="12.5">
      <c r="B356" s="18" t="s">
        <v>576</v>
      </c>
      <c r="C356" s="18" t="s">
        <v>577</v>
      </c>
    </row>
    <row r="357" spans="2:9" ht="12.5">
      <c r="B357" s="18" t="s">
        <v>578</v>
      </c>
      <c r="C357" s="18" t="s">
        <v>579</v>
      </c>
    </row>
    <row r="358" spans="2:9" ht="12.5">
      <c r="B358" s="18" t="s">
        <v>580</v>
      </c>
      <c r="C358" s="18" t="s">
        <v>313</v>
      </c>
    </row>
    <row r="360" spans="2:9" ht="15" customHeight="1">
      <c r="B360" s="3" t="s">
        <v>581</v>
      </c>
      <c r="C360" s="2"/>
      <c r="D360" s="2"/>
      <c r="E360" s="2"/>
      <c r="F360" s="2"/>
      <c r="G360" s="2"/>
      <c r="H360" s="2"/>
      <c r="I360" s="2"/>
    </row>
    <row r="361" spans="2:9" ht="15" customHeight="1">
      <c r="B361" s="3" t="s">
        <v>582</v>
      </c>
      <c r="C361" s="2"/>
      <c r="D361" s="2"/>
      <c r="E361" s="2"/>
      <c r="F361" s="2"/>
      <c r="G361" s="2"/>
      <c r="H361" s="2"/>
    </row>
    <row r="362" spans="2:9" ht="15" customHeight="1">
      <c r="B362" s="3" t="s">
        <v>583</v>
      </c>
      <c r="C362" s="2"/>
      <c r="D362" s="2"/>
      <c r="E362" s="2"/>
      <c r="F362" s="2"/>
      <c r="G362" s="2"/>
      <c r="H362" s="2"/>
    </row>
    <row r="363" spans="2:9" ht="15" customHeight="1">
      <c r="B363" s="3" t="s">
        <v>584</v>
      </c>
      <c r="C363" s="2"/>
      <c r="D363" s="2"/>
      <c r="E363" s="2"/>
      <c r="F363" s="2"/>
      <c r="G363" s="2"/>
      <c r="H363" s="2"/>
    </row>
    <row r="364" spans="2:9" ht="15" customHeight="1">
      <c r="B364" s="3" t="s">
        <v>585</v>
      </c>
      <c r="C364" s="2"/>
      <c r="D364" s="2"/>
      <c r="E364" s="2"/>
      <c r="F364" s="2"/>
      <c r="G364" s="2"/>
      <c r="H364" s="2"/>
    </row>
    <row r="365" spans="2:9" ht="15" customHeight="1">
      <c r="B365" s="3" t="s">
        <v>586</v>
      </c>
      <c r="C365" s="2"/>
      <c r="D365" s="2"/>
      <c r="E365" s="2"/>
      <c r="F365" s="2"/>
      <c r="G365" s="2"/>
      <c r="H365" s="2"/>
    </row>
    <row r="366" spans="2:9" ht="27.5" customHeight="1">
      <c r="B366" s="1" t="s">
        <v>587</v>
      </c>
      <c r="C366" s="2"/>
      <c r="D366" s="2"/>
      <c r="E366" s="2"/>
      <c r="F366" s="2"/>
      <c r="G366" s="2"/>
      <c r="H366" s="2"/>
    </row>
    <row r="367" spans="2:9" ht="27.5" customHeight="1">
      <c r="B367" s="1" t="s">
        <v>588</v>
      </c>
      <c r="C367" s="2"/>
      <c r="D367" s="2"/>
      <c r="E367" s="2"/>
      <c r="F367" s="2"/>
      <c r="G367" s="2"/>
      <c r="H367" s="2"/>
    </row>
    <row r="368" spans="2:9" ht="27.5" customHeight="1">
      <c r="B368" s="1" t="s">
        <v>589</v>
      </c>
      <c r="C368" s="2"/>
      <c r="D368" s="2"/>
      <c r="E368" s="2"/>
      <c r="F368" s="2"/>
      <c r="G368" s="2"/>
      <c r="H368" s="2"/>
    </row>
    <row r="369" spans="2:8" ht="50.75" customHeight="1">
      <c r="B369" s="1" t="s">
        <v>590</v>
      </c>
      <c r="C369" s="2"/>
      <c r="D369" s="2"/>
      <c r="E369" s="2"/>
      <c r="F369" s="2"/>
      <c r="G369" s="2"/>
      <c r="H369" s="2"/>
    </row>
    <row r="372" spans="2:8" ht="12.5">
      <c r="B372" s="32" t="s">
        <v>591</v>
      </c>
    </row>
    <row r="387" spans="2:2" ht="12.5">
      <c r="B387" s="32" t="s">
        <v>592</v>
      </c>
    </row>
    <row r="388" spans="2:2" ht="12.5">
      <c r="B388" s="32" t="s">
        <v>593</v>
      </c>
    </row>
  </sheetData>
  <mergeCells count="14">
    <mergeCell ref="B366:H366"/>
    <mergeCell ref="B367:H367"/>
    <mergeCell ref="B368:H368"/>
    <mergeCell ref="B369:H369"/>
    <mergeCell ref="B361:H361"/>
    <mergeCell ref="B362:H362"/>
    <mergeCell ref="B363:H363"/>
    <mergeCell ref="B364:H364"/>
    <mergeCell ref="B365:H365"/>
    <mergeCell ref="B1:J1"/>
    <mergeCell ref="B2:J2"/>
    <mergeCell ref="B3:J3"/>
    <mergeCell ref="B332:I332"/>
    <mergeCell ref="B360:I360"/>
  </mergeCells>
  <printOptions headings="1" gridLines="1"/>
  <pageMargins left="0" right="0" top="0" bottom="0" header="0" footer="0"/>
  <pageSetup orientation="portrait"/>
  <headerFooter alignWithMargins="0">
    <oddHeader>&amp;C&amp;G</oddHeader>
  </headerFooter>
  <drawing r:id="rId1"/>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910FD3-A2D3-45AC-9276-A892A21F5928}">
  <dimension ref="A1:Q121"/>
  <sheetViews>
    <sheetView topLeftCell="A41" workbookViewId="0">
      <selection activeCell="C41" sqref="C41"/>
    </sheetView>
  </sheetViews>
  <sheetFormatPr defaultRowHeight="12.5"/>
  <cols>
    <col min="2" max="2" width="13.54296875" bestFit="1" customWidth="1"/>
    <col min="3" max="3" width="35.54296875" bestFit="1" customWidth="1"/>
    <col min="4" max="4" width="30.453125" style="80" customWidth="1"/>
    <col min="5" max="5" width="20.81640625" customWidth="1"/>
    <col min="6" max="6" width="16.453125" customWidth="1"/>
    <col min="7" max="7" width="22.1796875" customWidth="1"/>
    <col min="8" max="8" width="19" customWidth="1"/>
  </cols>
  <sheetData>
    <row r="1" spans="1:17">
      <c r="B1" s="38" t="s">
        <v>594</v>
      </c>
      <c r="C1" s="32"/>
      <c r="D1" s="32"/>
      <c r="E1" s="32"/>
      <c r="F1" s="32"/>
    </row>
    <row r="2" spans="1:17">
      <c r="B2" s="38"/>
      <c r="C2" s="32"/>
      <c r="D2" s="32"/>
      <c r="E2" s="32"/>
      <c r="F2" s="32"/>
    </row>
    <row r="3" spans="1:17">
      <c r="A3">
        <v>1</v>
      </c>
      <c r="B3" s="39" t="s">
        <v>595</v>
      </c>
      <c r="C3" s="39" t="s">
        <v>596</v>
      </c>
      <c r="D3" s="39" t="s">
        <v>596</v>
      </c>
      <c r="E3" s="39" t="s">
        <v>596</v>
      </c>
      <c r="F3" s="39" t="s">
        <v>596</v>
      </c>
    </row>
    <row r="4" spans="1:17" ht="39">
      <c r="B4" s="40" t="s">
        <v>597</v>
      </c>
      <c r="C4" s="41" t="s">
        <v>598</v>
      </c>
      <c r="D4" s="42" t="s">
        <v>599</v>
      </c>
      <c r="E4" s="42" t="s">
        <v>600</v>
      </c>
      <c r="F4" s="42" t="s">
        <v>601</v>
      </c>
      <c r="G4" s="42" t="s">
        <v>602</v>
      </c>
    </row>
    <row r="5" spans="1:17">
      <c r="B5" s="43" t="s">
        <v>603</v>
      </c>
      <c r="C5" s="43" t="s">
        <v>86</v>
      </c>
      <c r="D5" s="43" t="s">
        <v>604</v>
      </c>
      <c r="E5" s="44">
        <v>1013.1138</v>
      </c>
      <c r="F5" s="44">
        <v>1002.8</v>
      </c>
      <c r="G5" s="44">
        <v>661.63239799999997</v>
      </c>
    </row>
    <row r="6" spans="1:17">
      <c r="D6"/>
    </row>
    <row r="7" spans="1:17">
      <c r="A7">
        <v>2</v>
      </c>
      <c r="B7" s="39" t="s">
        <v>605</v>
      </c>
      <c r="C7" s="39" t="s">
        <v>606</v>
      </c>
      <c r="D7" s="39" t="s">
        <v>606</v>
      </c>
      <c r="E7" s="39" t="s">
        <v>606</v>
      </c>
      <c r="F7" s="39" t="s">
        <v>606</v>
      </c>
    </row>
    <row r="8" spans="1:17">
      <c r="B8" s="45"/>
      <c r="C8" s="45"/>
      <c r="D8" s="45"/>
      <c r="E8" s="45"/>
      <c r="F8" s="45"/>
    </row>
    <row r="9" spans="1:17" ht="39">
      <c r="B9" s="40" t="s">
        <v>597</v>
      </c>
      <c r="C9" s="41" t="s">
        <v>598</v>
      </c>
      <c r="D9" s="42" t="s">
        <v>599</v>
      </c>
      <c r="E9" s="42" t="s">
        <v>600</v>
      </c>
      <c r="F9" s="42" t="s">
        <v>601</v>
      </c>
      <c r="G9" s="42" t="s">
        <v>602</v>
      </c>
    </row>
    <row r="10" spans="1:17" s="49" customFormat="1" ht="13">
      <c r="A10" s="46"/>
      <c r="B10" s="43" t="s">
        <v>603</v>
      </c>
      <c r="C10" s="43" t="s">
        <v>607</v>
      </c>
      <c r="D10" s="43" t="s">
        <v>608</v>
      </c>
      <c r="E10" s="44">
        <v>3878.5656470588201</v>
      </c>
      <c r="F10" s="44">
        <v>3831.6</v>
      </c>
      <c r="G10" s="47">
        <v>106.01079300000001</v>
      </c>
      <c r="H10" s="48"/>
      <c r="I10" s="48"/>
      <c r="O10" s="48"/>
      <c r="P10" s="48"/>
      <c r="Q10" s="48"/>
    </row>
    <row r="11" spans="1:17" s="49" customFormat="1" ht="13">
      <c r="A11" s="46"/>
      <c r="B11" s="43" t="s">
        <v>603</v>
      </c>
      <c r="C11" s="43" t="s">
        <v>233</v>
      </c>
      <c r="D11" s="43" t="s">
        <v>608</v>
      </c>
      <c r="E11" s="44">
        <v>1496.10602393162</v>
      </c>
      <c r="F11" s="44">
        <v>1476.6</v>
      </c>
      <c r="G11" s="47">
        <v>296.287173</v>
      </c>
      <c r="H11" s="48"/>
      <c r="I11" s="48"/>
      <c r="O11" s="48"/>
      <c r="P11" s="48"/>
      <c r="Q11" s="48"/>
    </row>
    <row r="12" spans="1:17" s="49" customFormat="1" ht="13">
      <c r="A12" s="46"/>
      <c r="B12" s="43" t="s">
        <v>603</v>
      </c>
      <c r="C12" s="43" t="s">
        <v>609</v>
      </c>
      <c r="D12" s="43" t="s">
        <v>608</v>
      </c>
      <c r="E12" s="44">
        <v>1180.10578378894</v>
      </c>
      <c r="F12" s="44">
        <v>1164.2</v>
      </c>
      <c r="G12" s="47">
        <v>598.4715625</v>
      </c>
      <c r="H12" s="48"/>
      <c r="I12" s="48"/>
      <c r="O12" s="48"/>
      <c r="P12" s="48"/>
      <c r="Q12" s="48"/>
    </row>
    <row r="13" spans="1:17" s="49" customFormat="1" ht="13">
      <c r="A13" s="46"/>
      <c r="B13" s="43" t="s">
        <v>603</v>
      </c>
      <c r="C13" s="43" t="s">
        <v>610</v>
      </c>
      <c r="D13" s="43" t="s">
        <v>608</v>
      </c>
      <c r="E13" s="44">
        <v>553.53593786982196</v>
      </c>
      <c r="F13" s="44">
        <v>545</v>
      </c>
      <c r="G13" s="47">
        <v>141.8417</v>
      </c>
      <c r="H13" s="48"/>
      <c r="I13" s="48"/>
      <c r="O13" s="48"/>
      <c r="P13" s="48"/>
      <c r="Q13" s="48"/>
    </row>
    <row r="14" spans="1:17" s="49" customFormat="1" ht="13">
      <c r="A14" s="46"/>
      <c r="B14" s="43" t="s">
        <v>603</v>
      </c>
      <c r="C14" s="43" t="s">
        <v>611</v>
      </c>
      <c r="D14" s="43" t="s">
        <v>608</v>
      </c>
      <c r="E14" s="44">
        <v>1458.0018</v>
      </c>
      <c r="F14" s="44">
        <v>1455.7</v>
      </c>
      <c r="G14" s="47">
        <v>356.6465</v>
      </c>
      <c r="H14" s="48"/>
      <c r="I14" s="48"/>
      <c r="O14" s="48"/>
      <c r="P14" s="48"/>
      <c r="Q14" s="48"/>
    </row>
    <row r="15" spans="1:17" s="49" customFormat="1" ht="13">
      <c r="A15" s="46"/>
      <c r="B15" s="43" t="s">
        <v>603</v>
      </c>
      <c r="C15" s="43" t="s">
        <v>103</v>
      </c>
      <c r="D15" s="43" t="s">
        <v>608</v>
      </c>
      <c r="E15" s="44">
        <v>138.32579999999999</v>
      </c>
      <c r="F15" s="44">
        <v>135.76</v>
      </c>
      <c r="G15" s="47">
        <v>115.82025</v>
      </c>
      <c r="H15" s="48"/>
      <c r="I15" s="48"/>
      <c r="O15" s="48"/>
      <c r="P15" s="48"/>
      <c r="Q15" s="48"/>
    </row>
    <row r="16" spans="1:17" s="49" customFormat="1" ht="13">
      <c r="A16" s="46"/>
      <c r="B16" s="43" t="s">
        <v>603</v>
      </c>
      <c r="C16" s="43" t="s">
        <v>612</v>
      </c>
      <c r="D16" s="43" t="s">
        <v>608</v>
      </c>
      <c r="E16" s="44">
        <v>74.7239</v>
      </c>
      <c r="F16" s="44">
        <v>74.430000000000007</v>
      </c>
      <c r="G16" s="47">
        <v>72.420389999999998</v>
      </c>
      <c r="H16" s="48"/>
      <c r="I16" s="48"/>
      <c r="O16" s="48"/>
      <c r="P16" s="48"/>
      <c r="Q16" s="48"/>
    </row>
    <row r="17" spans="1:17" s="49" customFormat="1" ht="13">
      <c r="A17" s="46"/>
      <c r="B17" s="43" t="s">
        <v>603</v>
      </c>
      <c r="C17" s="43" t="s">
        <v>613</v>
      </c>
      <c r="D17" s="43" t="s">
        <v>608</v>
      </c>
      <c r="E17" s="44">
        <v>2463.5382999913199</v>
      </c>
      <c r="F17" s="44">
        <v>2389.8000000000002</v>
      </c>
      <c r="G17" s="47">
        <v>240.78728629999998</v>
      </c>
      <c r="H17" s="48"/>
      <c r="I17" s="48"/>
      <c r="O17" s="48"/>
      <c r="P17" s="48"/>
      <c r="Q17" s="48"/>
    </row>
    <row r="18" spans="1:17" s="49" customFormat="1" ht="13">
      <c r="A18" s="46"/>
      <c r="B18" s="43" t="s">
        <v>603</v>
      </c>
      <c r="C18" s="43" t="s">
        <v>614</v>
      </c>
      <c r="D18" s="43" t="s">
        <v>608</v>
      </c>
      <c r="E18" s="44">
        <v>645.06459681528702</v>
      </c>
      <c r="F18" s="44">
        <v>665.55</v>
      </c>
      <c r="G18" s="47">
        <v>263.31820199999999</v>
      </c>
      <c r="H18" s="48"/>
      <c r="I18" s="48"/>
      <c r="O18" s="48"/>
      <c r="P18" s="48"/>
      <c r="Q18" s="48"/>
    </row>
    <row r="19" spans="1:17" s="49" customFormat="1" ht="13">
      <c r="A19" s="46"/>
      <c r="B19" s="43" t="s">
        <v>603</v>
      </c>
      <c r="C19" s="43" t="s">
        <v>615</v>
      </c>
      <c r="D19" s="43" t="s">
        <v>608</v>
      </c>
      <c r="E19" s="44">
        <v>24121.7068448563</v>
      </c>
      <c r="F19" s="44">
        <v>23840</v>
      </c>
      <c r="G19" s="47">
        <v>675.23820000000001</v>
      </c>
      <c r="H19" s="48"/>
      <c r="I19" s="48"/>
      <c r="O19" s="48"/>
      <c r="P19" s="48"/>
      <c r="Q19" s="48"/>
    </row>
    <row r="20" spans="1:17" s="49" customFormat="1" ht="13">
      <c r="A20" s="46"/>
      <c r="B20" s="43" t="s">
        <v>603</v>
      </c>
      <c r="C20" s="43" t="s">
        <v>616</v>
      </c>
      <c r="D20" s="43" t="s">
        <v>608</v>
      </c>
      <c r="E20" s="44">
        <v>282.19009999907001</v>
      </c>
      <c r="F20" s="44">
        <v>280.39999999999998</v>
      </c>
      <c r="G20" s="47">
        <v>263.82240150000001</v>
      </c>
      <c r="H20" s="48"/>
      <c r="I20" s="48"/>
      <c r="O20" s="48"/>
      <c r="P20" s="48"/>
      <c r="Q20" s="48"/>
    </row>
    <row r="21" spans="1:17">
      <c r="B21" s="50"/>
      <c r="C21" s="50"/>
      <c r="D21" s="50"/>
      <c r="E21" s="51"/>
      <c r="F21" s="51"/>
      <c r="G21" s="52"/>
    </row>
    <row r="22" spans="1:17">
      <c r="A22">
        <v>3</v>
      </c>
      <c r="B22" s="39" t="s">
        <v>617</v>
      </c>
      <c r="C22" s="39" t="s">
        <v>618</v>
      </c>
      <c r="D22" s="39" t="s">
        <v>618</v>
      </c>
      <c r="E22" s="39" t="s">
        <v>618</v>
      </c>
    </row>
    <row r="23" spans="1:17">
      <c r="D23"/>
    </row>
    <row r="24" spans="1:17">
      <c r="A24">
        <v>4</v>
      </c>
      <c r="B24" s="39" t="s">
        <v>619</v>
      </c>
      <c r="C24" s="39" t="s">
        <v>620</v>
      </c>
      <c r="D24" s="39" t="s">
        <v>620</v>
      </c>
      <c r="E24" s="39" t="s">
        <v>620</v>
      </c>
      <c r="F24" s="39" t="s">
        <v>620</v>
      </c>
    </row>
    <row r="25" spans="1:17" ht="39">
      <c r="B25" s="53" t="s">
        <v>597</v>
      </c>
      <c r="C25" s="54" t="s">
        <v>598</v>
      </c>
      <c r="D25" s="54" t="s">
        <v>621</v>
      </c>
      <c r="E25" s="41" t="s">
        <v>622</v>
      </c>
      <c r="F25" s="42" t="s">
        <v>623</v>
      </c>
      <c r="G25" s="42" t="s">
        <v>624</v>
      </c>
      <c r="H25" s="54" t="s">
        <v>625</v>
      </c>
    </row>
    <row r="26" spans="1:17">
      <c r="B26" s="55" t="s">
        <v>603</v>
      </c>
      <c r="C26" s="55" t="s">
        <v>626</v>
      </c>
      <c r="D26" s="56">
        <v>650</v>
      </c>
      <c r="E26" s="57">
        <v>0.28196501533341733</v>
      </c>
      <c r="F26" s="56">
        <v>32.004700016194299</v>
      </c>
      <c r="G26" s="56">
        <v>14</v>
      </c>
      <c r="H26" s="58">
        <v>172.15544940000001</v>
      </c>
    </row>
    <row r="27" spans="1:17">
      <c r="B27" s="55" t="s">
        <v>603</v>
      </c>
      <c r="C27" s="55" t="s">
        <v>54</v>
      </c>
      <c r="D27" s="56">
        <v>1540</v>
      </c>
      <c r="E27" s="57">
        <v>0.16708070028822194</v>
      </c>
      <c r="F27" s="56">
        <v>58.7259220779221</v>
      </c>
      <c r="G27" s="56">
        <v>51.15</v>
      </c>
      <c r="H27" s="58">
        <v>381.5342493</v>
      </c>
    </row>
    <row r="28" spans="1:17">
      <c r="B28" s="55" t="s">
        <v>603</v>
      </c>
      <c r="C28" s="55" t="s">
        <v>627</v>
      </c>
      <c r="D28" s="56">
        <v>825</v>
      </c>
      <c r="E28" s="57">
        <v>4.9986448118510093E-2</v>
      </c>
      <c r="F28" s="56">
        <v>94.661000000000001</v>
      </c>
      <c r="G28" s="56">
        <v>61.05</v>
      </c>
      <c r="H28" s="58">
        <v>226.63915309999999</v>
      </c>
    </row>
    <row r="29" spans="1:17">
      <c r="B29" s="55" t="s">
        <v>603</v>
      </c>
      <c r="C29" s="55" t="s">
        <v>65</v>
      </c>
      <c r="D29" s="56">
        <v>1117</v>
      </c>
      <c r="E29" s="57">
        <v>0.19987674565585697</v>
      </c>
      <c r="F29" s="56">
        <v>5.7055999999999996</v>
      </c>
      <c r="G29" s="56">
        <v>6.2</v>
      </c>
      <c r="H29" s="58">
        <v>327.92885999999999</v>
      </c>
    </row>
    <row r="30" spans="1:17">
      <c r="B30" s="55" t="s">
        <v>603</v>
      </c>
      <c r="C30" s="55" t="s">
        <v>29</v>
      </c>
      <c r="D30" s="56">
        <v>1500</v>
      </c>
      <c r="E30" s="57">
        <v>4.3300195405121825E-2</v>
      </c>
      <c r="F30" s="56">
        <v>2.9847999999999999</v>
      </c>
      <c r="G30" s="56">
        <v>1.8</v>
      </c>
      <c r="H30" s="58">
        <v>257.82749999999999</v>
      </c>
    </row>
    <row r="31" spans="1:17">
      <c r="B31" s="55" t="s">
        <v>603</v>
      </c>
      <c r="C31" s="55" t="s">
        <v>628</v>
      </c>
      <c r="D31" s="56">
        <v>1400</v>
      </c>
      <c r="E31" s="57">
        <v>4.9730849537893841E-2</v>
      </c>
      <c r="F31" s="56">
        <v>21.533437877550998</v>
      </c>
      <c r="G31" s="56">
        <v>27.15</v>
      </c>
      <c r="H31" s="58">
        <v>340.33832000000001</v>
      </c>
    </row>
    <row r="32" spans="1:17">
      <c r="B32" s="55" t="s">
        <v>603</v>
      </c>
      <c r="C32" s="55" t="s">
        <v>629</v>
      </c>
      <c r="D32" s="56">
        <v>1960</v>
      </c>
      <c r="E32" s="57">
        <v>0.28019451726042699</v>
      </c>
      <c r="F32" s="56">
        <v>2.8380059206349197</v>
      </c>
      <c r="G32" s="56">
        <v>2.57</v>
      </c>
      <c r="H32" s="58">
        <v>357.7833</v>
      </c>
    </row>
    <row r="33" spans="1:8">
      <c r="B33" s="55" t="s">
        <v>603</v>
      </c>
      <c r="C33" s="55" t="s">
        <v>51</v>
      </c>
      <c r="D33" s="56">
        <v>3700</v>
      </c>
      <c r="E33" s="57">
        <v>0.27977221668652236</v>
      </c>
      <c r="F33" s="56">
        <v>66.375872972972999</v>
      </c>
      <c r="G33" s="56">
        <v>56.95</v>
      </c>
      <c r="H33" s="58">
        <v>698.99114250000002</v>
      </c>
    </row>
    <row r="34" spans="1:8">
      <c r="B34" s="55" t="s">
        <v>603</v>
      </c>
      <c r="C34" s="55" t="s">
        <v>67</v>
      </c>
      <c r="D34" s="56">
        <v>2009</v>
      </c>
      <c r="E34" s="57">
        <v>0.27997424627142314</v>
      </c>
      <c r="F34" s="56">
        <v>232.42108680935797</v>
      </c>
      <c r="G34" s="56">
        <v>137.9</v>
      </c>
      <c r="H34" s="58">
        <v>402.55513289999999</v>
      </c>
    </row>
    <row r="35" spans="1:8">
      <c r="B35" s="55" t="s">
        <v>603</v>
      </c>
      <c r="C35" s="55" t="s">
        <v>61</v>
      </c>
      <c r="D35" s="56">
        <v>2299</v>
      </c>
      <c r="E35" s="57">
        <v>0.20381230812495607</v>
      </c>
      <c r="F35" s="56">
        <v>3.2705612446495298</v>
      </c>
      <c r="G35" s="56">
        <v>2.0499999999999998</v>
      </c>
      <c r="H35" s="58">
        <v>354.6533096</v>
      </c>
    </row>
    <row r="36" spans="1:8">
      <c r="B36" s="59"/>
      <c r="C36" s="59"/>
      <c r="D36" s="60"/>
      <c r="E36" s="61"/>
      <c r="F36" s="62"/>
      <c r="G36" s="62"/>
      <c r="H36" s="63"/>
    </row>
    <row r="37" spans="1:8" ht="12.5" customHeight="1">
      <c r="B37" s="64" t="s">
        <v>630</v>
      </c>
      <c r="C37" s="64"/>
      <c r="D37" s="64"/>
      <c r="E37" s="64"/>
      <c r="F37" s="64"/>
      <c r="G37" s="64"/>
      <c r="H37" s="64"/>
    </row>
    <row r="38" spans="1:8">
      <c r="B38" s="45"/>
      <c r="C38" s="45"/>
      <c r="D38" s="45"/>
      <c r="E38" s="45"/>
      <c r="F38" s="45"/>
    </row>
    <row r="39" spans="1:8">
      <c r="A39">
        <v>5</v>
      </c>
      <c r="B39" s="39" t="s">
        <v>631</v>
      </c>
      <c r="C39" s="39"/>
      <c r="D39" s="39"/>
      <c r="E39" s="39"/>
      <c r="F39" s="39"/>
    </row>
    <row r="40" spans="1:8">
      <c r="B40" s="45"/>
      <c r="C40" s="45"/>
      <c r="D40" s="45"/>
      <c r="E40" s="45"/>
      <c r="F40" s="45"/>
    </row>
    <row r="41" spans="1:8" ht="13">
      <c r="A41" s="65" t="s">
        <v>632</v>
      </c>
      <c r="B41" s="66" t="s">
        <v>633</v>
      </c>
      <c r="C41" s="67"/>
      <c r="D41" s="68"/>
      <c r="E41" s="69"/>
      <c r="F41" s="70"/>
      <c r="G41" s="70"/>
      <c r="H41" s="71"/>
    </row>
    <row r="42" spans="1:8" ht="13">
      <c r="B42" s="66"/>
      <c r="C42" s="67"/>
      <c r="D42" s="68"/>
      <c r="E42" s="69"/>
      <c r="F42" s="70"/>
      <c r="G42" s="70"/>
      <c r="H42" s="71"/>
    </row>
    <row r="43" spans="1:8" ht="13">
      <c r="B43" s="72" t="s">
        <v>634</v>
      </c>
      <c r="C43" s="72"/>
      <c r="D43" s="72"/>
      <c r="E43" s="72"/>
      <c r="F43" s="72"/>
      <c r="G43" s="72"/>
      <c r="H43" s="72"/>
    </row>
    <row r="44" spans="1:8" ht="39">
      <c r="B44" s="73" t="s">
        <v>597</v>
      </c>
      <c r="C44" s="73" t="s">
        <v>635</v>
      </c>
      <c r="D44" s="73"/>
      <c r="E44" s="73" t="s">
        <v>636</v>
      </c>
      <c r="F44" s="73"/>
      <c r="G44" s="73" t="s">
        <v>637</v>
      </c>
      <c r="H44" s="73" t="s">
        <v>638</v>
      </c>
    </row>
    <row r="45" spans="1:8" ht="39">
      <c r="B45" s="73"/>
      <c r="C45" s="74" t="s">
        <v>639</v>
      </c>
      <c r="D45" s="74" t="s">
        <v>640</v>
      </c>
      <c r="E45" s="74" t="s">
        <v>639</v>
      </c>
      <c r="F45" s="74" t="s">
        <v>641</v>
      </c>
      <c r="G45" s="73"/>
      <c r="H45" s="73"/>
    </row>
    <row r="46" spans="1:8">
      <c r="B46" s="75" t="s">
        <v>603</v>
      </c>
      <c r="C46" s="76">
        <v>0</v>
      </c>
      <c r="D46" s="76">
        <v>0</v>
      </c>
      <c r="E46" s="76">
        <v>9269</v>
      </c>
      <c r="F46" s="76">
        <v>68868.0688429</v>
      </c>
      <c r="G46" s="77">
        <v>-444.08303259346746</v>
      </c>
      <c r="H46" s="78">
        <v>3.6534585605859119E-3</v>
      </c>
    </row>
    <row r="48" spans="1:8">
      <c r="B48" s="79" t="s">
        <v>642</v>
      </c>
    </row>
    <row r="50" spans="1:8" ht="13">
      <c r="A50" s="65" t="s">
        <v>643</v>
      </c>
      <c r="B50" s="66" t="s">
        <v>633</v>
      </c>
      <c r="C50" s="67"/>
      <c r="D50" s="68"/>
      <c r="E50" s="69"/>
      <c r="F50" s="69"/>
      <c r="G50" s="69"/>
      <c r="H50" s="71"/>
    </row>
    <row r="51" spans="1:8" ht="13">
      <c r="B51" s="72" t="s">
        <v>644</v>
      </c>
      <c r="C51" s="72"/>
      <c r="D51" s="72"/>
      <c r="E51" s="72"/>
      <c r="F51" s="72"/>
      <c r="G51" s="72"/>
      <c r="H51" s="72"/>
    </row>
    <row r="52" spans="1:8" ht="65">
      <c r="B52" s="73" t="s">
        <v>597</v>
      </c>
      <c r="C52" s="73" t="s">
        <v>645</v>
      </c>
      <c r="D52" s="73"/>
      <c r="E52" s="73" t="s">
        <v>646</v>
      </c>
      <c r="F52" s="73"/>
      <c r="G52" s="74" t="s">
        <v>647</v>
      </c>
      <c r="H52" s="74" t="s">
        <v>648</v>
      </c>
    </row>
    <row r="53" spans="1:8" ht="39">
      <c r="B53" s="73"/>
      <c r="C53" s="74" t="s">
        <v>639</v>
      </c>
      <c r="D53" s="74" t="s">
        <v>641</v>
      </c>
      <c r="E53" s="74" t="s">
        <v>639</v>
      </c>
      <c r="F53" s="74" t="s">
        <v>641</v>
      </c>
      <c r="G53" s="74"/>
      <c r="H53" s="74"/>
    </row>
    <row r="54" spans="1:8">
      <c r="B54" s="81" t="s">
        <v>603</v>
      </c>
      <c r="C54" s="77">
        <v>24128</v>
      </c>
      <c r="D54" s="75">
        <v>149371.19436940004</v>
      </c>
      <c r="E54" s="75">
        <v>0</v>
      </c>
      <c r="F54" s="75">
        <v>0</v>
      </c>
      <c r="G54" s="75">
        <v>-1408.2232565065326</v>
      </c>
      <c r="H54" s="82">
        <v>1.7052504209080763E-2</v>
      </c>
    </row>
    <row r="56" spans="1:8" ht="13">
      <c r="B56" s="79" t="s">
        <v>642</v>
      </c>
      <c r="C56" s="49"/>
      <c r="D56" s="49"/>
    </row>
    <row r="58" spans="1:8" ht="13">
      <c r="A58">
        <v>7</v>
      </c>
      <c r="B58" s="83" t="s">
        <v>649</v>
      </c>
      <c r="C58" s="84"/>
      <c r="D58" s="84"/>
      <c r="E58" s="84"/>
      <c r="F58" s="84"/>
      <c r="G58" s="84"/>
      <c r="H58" s="84"/>
    </row>
    <row r="59" spans="1:8" ht="13">
      <c r="B59" s="83"/>
      <c r="C59" s="84"/>
      <c r="D59" s="84"/>
      <c r="E59" s="84"/>
      <c r="F59" s="84"/>
      <c r="G59" s="84"/>
      <c r="H59" s="84"/>
    </row>
    <row r="60" spans="1:8" ht="26">
      <c r="B60" s="53" t="s">
        <v>597</v>
      </c>
      <c r="C60" s="54" t="s">
        <v>650</v>
      </c>
      <c r="D60" s="54" t="s">
        <v>598</v>
      </c>
      <c r="E60" s="54" t="s">
        <v>651</v>
      </c>
      <c r="F60" s="54" t="s">
        <v>621</v>
      </c>
      <c r="G60" s="85" t="s">
        <v>652</v>
      </c>
      <c r="H60" s="85" t="s">
        <v>653</v>
      </c>
    </row>
    <row r="61" spans="1:8">
      <c r="B61" s="43" t="s">
        <v>603</v>
      </c>
      <c r="C61" s="43" t="s">
        <v>654</v>
      </c>
      <c r="D61" s="43" t="s">
        <v>46</v>
      </c>
      <c r="E61" s="86">
        <v>2000</v>
      </c>
      <c r="F61" s="86">
        <v>1430</v>
      </c>
      <c r="G61" s="44">
        <v>156.05361199999999</v>
      </c>
      <c r="H61" s="44">
        <v>156.05361199999999</v>
      </c>
    </row>
    <row r="62" spans="1:8">
      <c r="B62" s="43" t="s">
        <v>603</v>
      </c>
      <c r="C62" s="43" t="s">
        <v>654</v>
      </c>
      <c r="D62" s="43" t="s">
        <v>46</v>
      </c>
      <c r="E62" s="86">
        <v>2020</v>
      </c>
      <c r="F62" s="86">
        <v>1000</v>
      </c>
      <c r="G62" s="44">
        <v>55.394500000000001</v>
      </c>
      <c r="H62" s="44">
        <v>55.087535000000003</v>
      </c>
    </row>
    <row r="63" spans="1:8">
      <c r="B63" s="43" t="s">
        <v>603</v>
      </c>
      <c r="C63" s="43" t="s">
        <v>654</v>
      </c>
      <c r="D63" s="43" t="s">
        <v>217</v>
      </c>
      <c r="E63" s="86">
        <v>1390</v>
      </c>
      <c r="F63" s="86">
        <v>220</v>
      </c>
      <c r="G63" s="44">
        <v>26.62</v>
      </c>
      <c r="H63" s="44">
        <v>26.62</v>
      </c>
    </row>
    <row r="64" spans="1:8">
      <c r="B64" s="43" t="s">
        <v>603</v>
      </c>
      <c r="C64" s="43" t="s">
        <v>654</v>
      </c>
      <c r="D64" s="43" t="s">
        <v>15</v>
      </c>
      <c r="E64" s="86">
        <v>740</v>
      </c>
      <c r="F64" s="86">
        <v>6840</v>
      </c>
      <c r="G64" s="44">
        <v>312.00863199999998</v>
      </c>
      <c r="H64" s="44">
        <v>310.03732889999998</v>
      </c>
    </row>
    <row r="65" spans="2:8">
      <c r="B65" s="43" t="s">
        <v>603</v>
      </c>
      <c r="C65" s="43" t="s">
        <v>654</v>
      </c>
      <c r="D65" s="43" t="s">
        <v>610</v>
      </c>
      <c r="E65" s="86">
        <v>550</v>
      </c>
      <c r="F65" s="86">
        <v>387</v>
      </c>
      <c r="G65" s="44">
        <v>40.063478400000001</v>
      </c>
      <c r="H65" s="44">
        <v>10.543129199999997</v>
      </c>
    </row>
    <row r="66" spans="2:8">
      <c r="B66" s="43" t="s">
        <v>603</v>
      </c>
      <c r="C66" s="43" t="s">
        <v>654</v>
      </c>
      <c r="D66" s="43" t="s">
        <v>178</v>
      </c>
      <c r="E66" s="86">
        <v>1180</v>
      </c>
      <c r="F66" s="86">
        <v>760</v>
      </c>
      <c r="G66" s="44">
        <v>84.247215999999995</v>
      </c>
      <c r="H66" s="44">
        <v>83.932969700000001</v>
      </c>
    </row>
    <row r="67" spans="2:8">
      <c r="B67" s="43" t="s">
        <v>603</v>
      </c>
      <c r="C67" s="43" t="s">
        <v>654</v>
      </c>
      <c r="D67" s="43" t="s">
        <v>178</v>
      </c>
      <c r="E67" s="86">
        <v>1200</v>
      </c>
      <c r="F67" s="86">
        <v>1000</v>
      </c>
      <c r="G67" s="44">
        <v>100.83159999999999</v>
      </c>
      <c r="H67" s="44">
        <v>100.83159999999999</v>
      </c>
    </row>
    <row r="68" spans="2:8">
      <c r="B68" s="43" t="s">
        <v>603</v>
      </c>
      <c r="C68" s="43" t="s">
        <v>654</v>
      </c>
      <c r="D68" s="43" t="s">
        <v>627</v>
      </c>
      <c r="E68" s="86">
        <v>5300</v>
      </c>
      <c r="F68" s="86">
        <v>1500</v>
      </c>
      <c r="G68" s="44">
        <v>239.0094</v>
      </c>
      <c r="H68" s="44">
        <v>239.0094</v>
      </c>
    </row>
    <row r="69" spans="2:8">
      <c r="B69" s="43" t="s">
        <v>603</v>
      </c>
      <c r="C69" s="43" t="s">
        <v>654</v>
      </c>
      <c r="D69" s="43" t="s">
        <v>627</v>
      </c>
      <c r="E69" s="86">
        <v>5400</v>
      </c>
      <c r="F69" s="86">
        <v>1000</v>
      </c>
      <c r="G69" s="44">
        <v>107.91074999999999</v>
      </c>
      <c r="H69" s="44">
        <v>107.91074999999999</v>
      </c>
    </row>
    <row r="70" spans="2:8">
      <c r="B70" s="43" t="s">
        <v>603</v>
      </c>
      <c r="C70" s="43" t="s">
        <v>654</v>
      </c>
      <c r="D70" s="43" t="s">
        <v>120</v>
      </c>
      <c r="E70" s="86">
        <v>3450</v>
      </c>
      <c r="F70" s="86">
        <v>667</v>
      </c>
      <c r="G70" s="44">
        <v>64.077889600000006</v>
      </c>
      <c r="H70" s="44">
        <v>63.821028800000008</v>
      </c>
    </row>
    <row r="71" spans="2:8">
      <c r="B71" s="43" t="s">
        <v>603</v>
      </c>
      <c r="C71" s="43" t="s">
        <v>654</v>
      </c>
      <c r="D71" s="43" t="s">
        <v>59</v>
      </c>
      <c r="E71" s="86">
        <v>14100</v>
      </c>
      <c r="F71" s="86">
        <v>1000</v>
      </c>
      <c r="G71" s="44">
        <v>112.33199999999999</v>
      </c>
      <c r="H71" s="44">
        <v>111.9156718</v>
      </c>
    </row>
    <row r="72" spans="2:8">
      <c r="B72" s="43" t="s">
        <v>603</v>
      </c>
      <c r="C72" s="43" t="s">
        <v>654</v>
      </c>
      <c r="D72" s="43" t="s">
        <v>59</v>
      </c>
      <c r="E72" s="86">
        <v>14000</v>
      </c>
      <c r="F72" s="86">
        <v>1400</v>
      </c>
      <c r="G72" s="44">
        <v>188.46857170000001</v>
      </c>
      <c r="H72" s="44">
        <v>187.825793</v>
      </c>
    </row>
    <row r="73" spans="2:8">
      <c r="B73" s="43" t="s">
        <v>603</v>
      </c>
      <c r="C73" s="43" t="s">
        <v>654</v>
      </c>
      <c r="D73" s="43" t="s">
        <v>29</v>
      </c>
      <c r="E73" s="86">
        <v>355</v>
      </c>
      <c r="F73" s="86">
        <v>2357</v>
      </c>
      <c r="G73" s="44">
        <v>126.02042400000001</v>
      </c>
      <c r="H73" s="44">
        <v>125.616151</v>
      </c>
    </row>
    <row r="74" spans="2:8">
      <c r="B74" s="43" t="s">
        <v>603</v>
      </c>
      <c r="C74" s="43" t="s">
        <v>654</v>
      </c>
      <c r="D74" s="43" t="s">
        <v>29</v>
      </c>
      <c r="E74" s="86">
        <v>350</v>
      </c>
      <c r="F74" s="86">
        <v>1300</v>
      </c>
      <c r="G74" s="44">
        <v>55.17</v>
      </c>
      <c r="H74" s="44">
        <v>54.8032647</v>
      </c>
    </row>
    <row r="75" spans="2:8">
      <c r="B75" s="43" t="s">
        <v>603</v>
      </c>
      <c r="C75" s="43" t="s">
        <v>654</v>
      </c>
      <c r="D75" s="43" t="s">
        <v>29</v>
      </c>
      <c r="E75" s="86">
        <v>345</v>
      </c>
      <c r="F75" s="86">
        <v>1904</v>
      </c>
      <c r="G75" s="44">
        <v>98.294424000000006</v>
      </c>
      <c r="H75" s="44">
        <v>97.723715200000001</v>
      </c>
    </row>
    <row r="76" spans="2:8">
      <c r="B76" s="43" t="s">
        <v>603</v>
      </c>
      <c r="C76" s="43" t="s">
        <v>654</v>
      </c>
      <c r="D76" s="43" t="s">
        <v>629</v>
      </c>
      <c r="E76" s="86">
        <v>250</v>
      </c>
      <c r="F76" s="86">
        <v>1545</v>
      </c>
      <c r="G76" s="44">
        <v>84.827452500000007</v>
      </c>
      <c r="H76" s="44">
        <v>64.497792500000003</v>
      </c>
    </row>
    <row r="77" spans="2:8">
      <c r="B77" s="43" t="s">
        <v>603</v>
      </c>
      <c r="C77" s="43" t="s">
        <v>654</v>
      </c>
      <c r="D77" s="43" t="s">
        <v>629</v>
      </c>
      <c r="E77" s="86">
        <v>240</v>
      </c>
      <c r="F77" s="86">
        <v>1325</v>
      </c>
      <c r="G77" s="44">
        <v>121.6894163</v>
      </c>
      <c r="H77" s="44">
        <v>19.493985200000001</v>
      </c>
    </row>
    <row r="78" spans="2:8">
      <c r="B78" s="43" t="s">
        <v>603</v>
      </c>
      <c r="C78" s="43" t="s">
        <v>654</v>
      </c>
      <c r="D78" s="43" t="s">
        <v>20</v>
      </c>
      <c r="E78" s="86">
        <v>1320</v>
      </c>
      <c r="F78" s="86">
        <v>2840</v>
      </c>
      <c r="G78" s="44">
        <v>136.35825750000001</v>
      </c>
      <c r="H78" s="44">
        <v>135.5267418</v>
      </c>
    </row>
    <row r="79" spans="2:8">
      <c r="B79" s="43" t="s">
        <v>603</v>
      </c>
      <c r="C79" s="43" t="s">
        <v>654</v>
      </c>
      <c r="D79" s="43" t="s">
        <v>20</v>
      </c>
      <c r="E79" s="86">
        <v>1340</v>
      </c>
      <c r="F79" s="86">
        <v>1976</v>
      </c>
      <c r="G79" s="44">
        <v>165.98651849999999</v>
      </c>
      <c r="H79" s="44">
        <v>165.27145859999999</v>
      </c>
    </row>
    <row r="80" spans="2:8">
      <c r="B80" s="43" t="s">
        <v>603</v>
      </c>
      <c r="C80" s="43" t="s">
        <v>654</v>
      </c>
      <c r="D80" s="43" t="s">
        <v>20</v>
      </c>
      <c r="E80" s="86">
        <v>1350</v>
      </c>
      <c r="F80" s="86">
        <v>1569</v>
      </c>
      <c r="G80" s="44">
        <v>95.675266500000006</v>
      </c>
      <c r="H80" s="44">
        <v>95.176790000000011</v>
      </c>
    </row>
    <row r="81" spans="2:8">
      <c r="B81" s="43" t="s">
        <v>603</v>
      </c>
      <c r="C81" s="43" t="s">
        <v>654</v>
      </c>
      <c r="D81" s="43" t="s">
        <v>20</v>
      </c>
      <c r="E81" s="86">
        <v>1330</v>
      </c>
      <c r="F81" s="86">
        <v>1943</v>
      </c>
      <c r="G81" s="44">
        <v>198.16850649999998</v>
      </c>
      <c r="H81" s="44">
        <v>197.39817399999998</v>
      </c>
    </row>
    <row r="82" spans="2:8">
      <c r="B82" s="43" t="s">
        <v>603</v>
      </c>
      <c r="C82" s="43" t="s">
        <v>654</v>
      </c>
      <c r="D82" s="43" t="s">
        <v>655</v>
      </c>
      <c r="E82" s="86">
        <v>1090</v>
      </c>
      <c r="F82" s="86">
        <v>1000</v>
      </c>
      <c r="G82" s="44">
        <v>120.67574999999999</v>
      </c>
      <c r="H82" s="44">
        <v>120.2434038</v>
      </c>
    </row>
    <row r="83" spans="2:8">
      <c r="B83" s="43" t="s">
        <v>603</v>
      </c>
      <c r="C83" s="43" t="s">
        <v>654</v>
      </c>
      <c r="D83" s="43" t="s">
        <v>656</v>
      </c>
      <c r="E83" s="86">
        <v>1720</v>
      </c>
      <c r="F83" s="86">
        <v>300</v>
      </c>
      <c r="G83" s="44">
        <v>53.6616</v>
      </c>
      <c r="H83" s="44">
        <v>35.171556600000002</v>
      </c>
    </row>
    <row r="84" spans="2:8">
      <c r="B84" s="43" t="s">
        <v>603</v>
      </c>
      <c r="C84" s="43" t="s">
        <v>654</v>
      </c>
      <c r="D84" s="43" t="s">
        <v>126</v>
      </c>
      <c r="E84" s="86">
        <v>1170</v>
      </c>
      <c r="F84" s="86">
        <v>620</v>
      </c>
      <c r="G84" s="44">
        <v>107.360595</v>
      </c>
      <c r="H84" s="44">
        <v>107.03004490000001</v>
      </c>
    </row>
    <row r="85" spans="2:8">
      <c r="B85" s="43" t="s">
        <v>603</v>
      </c>
      <c r="C85" s="43" t="s">
        <v>654</v>
      </c>
      <c r="D85" s="43" t="s">
        <v>628</v>
      </c>
      <c r="E85" s="86">
        <v>2000</v>
      </c>
      <c r="F85" s="86">
        <v>1400</v>
      </c>
      <c r="G85" s="44">
        <v>187.04125999999999</v>
      </c>
      <c r="H85" s="44">
        <v>187.04125999999999</v>
      </c>
    </row>
    <row r="86" spans="2:8">
      <c r="B86" s="43" t="s">
        <v>603</v>
      </c>
      <c r="C86" s="43" t="s">
        <v>654</v>
      </c>
      <c r="D86" s="43" t="s">
        <v>51</v>
      </c>
      <c r="E86" s="86">
        <v>2540</v>
      </c>
      <c r="F86" s="86">
        <v>1500</v>
      </c>
      <c r="G86" s="44">
        <v>129.61653749999999</v>
      </c>
      <c r="H86" s="44">
        <v>129.61653749999999</v>
      </c>
    </row>
    <row r="87" spans="2:8">
      <c r="B87" s="43" t="s">
        <v>603</v>
      </c>
      <c r="C87" s="43" t="s">
        <v>654</v>
      </c>
      <c r="D87" s="43" t="s">
        <v>51</v>
      </c>
      <c r="E87" s="86">
        <v>2460</v>
      </c>
      <c r="F87" s="86">
        <v>2116</v>
      </c>
      <c r="G87" s="44">
        <v>271.14019109999998</v>
      </c>
      <c r="H87" s="44">
        <v>270.20596319999999</v>
      </c>
    </row>
    <row r="88" spans="2:8">
      <c r="B88" s="43" t="s">
        <v>603</v>
      </c>
      <c r="C88" s="43" t="s">
        <v>654</v>
      </c>
      <c r="D88" s="43" t="s">
        <v>54</v>
      </c>
      <c r="E88" s="86">
        <v>4150</v>
      </c>
      <c r="F88" s="86">
        <v>1700</v>
      </c>
      <c r="G88" s="44">
        <v>38.815420000000003</v>
      </c>
      <c r="H88" s="44">
        <v>38.400115000000007</v>
      </c>
    </row>
    <row r="89" spans="2:8">
      <c r="B89" s="43" t="s">
        <v>603</v>
      </c>
      <c r="C89" s="43" t="s">
        <v>654</v>
      </c>
      <c r="D89" s="43" t="s">
        <v>67</v>
      </c>
      <c r="E89" s="86">
        <v>11960</v>
      </c>
      <c r="F89" s="86">
        <v>2000</v>
      </c>
      <c r="G89" s="44">
        <v>181.7268</v>
      </c>
      <c r="H89" s="44">
        <v>181.7268</v>
      </c>
    </row>
    <row r="90" spans="2:8">
      <c r="B90" s="43" t="s">
        <v>603</v>
      </c>
      <c r="C90" s="43" t="s">
        <v>654</v>
      </c>
      <c r="D90" s="43" t="s">
        <v>611</v>
      </c>
      <c r="E90" s="86">
        <v>1430</v>
      </c>
      <c r="F90" s="86">
        <v>1350</v>
      </c>
      <c r="G90" s="44">
        <v>94.720185000000001</v>
      </c>
      <c r="H90" s="44">
        <v>94.267471400000005</v>
      </c>
    </row>
    <row r="91" spans="2:8">
      <c r="B91" s="43" t="s">
        <v>603</v>
      </c>
      <c r="C91" s="43" t="s">
        <v>654</v>
      </c>
      <c r="D91" s="43" t="s">
        <v>61</v>
      </c>
      <c r="E91" s="86">
        <v>295</v>
      </c>
      <c r="F91" s="86">
        <v>1500</v>
      </c>
      <c r="G91" s="44">
        <v>57.002625000000002</v>
      </c>
      <c r="H91" s="44">
        <v>56.592259200000001</v>
      </c>
    </row>
    <row r="92" spans="2:8">
      <c r="B92" s="43" t="s">
        <v>603</v>
      </c>
      <c r="C92" s="43" t="s">
        <v>654</v>
      </c>
      <c r="D92" s="43" t="s">
        <v>61</v>
      </c>
      <c r="E92" s="86">
        <v>297.5</v>
      </c>
      <c r="F92" s="86">
        <v>1500</v>
      </c>
      <c r="G92" s="44">
        <v>42.492787499999999</v>
      </c>
      <c r="H92" s="44">
        <v>42.110292099999995</v>
      </c>
    </row>
    <row r="93" spans="2:8">
      <c r="B93" s="43" t="s">
        <v>603</v>
      </c>
      <c r="C93" s="43" t="s">
        <v>654</v>
      </c>
      <c r="D93" s="43" t="s">
        <v>65</v>
      </c>
      <c r="E93" s="86">
        <v>400</v>
      </c>
      <c r="F93" s="86">
        <v>560</v>
      </c>
      <c r="G93" s="44">
        <v>24.61872</v>
      </c>
      <c r="H93" s="44">
        <v>24.4591052</v>
      </c>
    </row>
    <row r="94" spans="2:8">
      <c r="B94" s="50"/>
      <c r="C94" s="50"/>
      <c r="D94" s="50"/>
      <c r="E94" s="87"/>
      <c r="F94" s="87"/>
      <c r="G94" s="51"/>
      <c r="H94" s="51"/>
    </row>
    <row r="95" spans="2:8">
      <c r="B95" s="79" t="s">
        <v>642</v>
      </c>
      <c r="C95" s="80"/>
      <c r="D95"/>
    </row>
    <row r="97" spans="1:8">
      <c r="A97">
        <v>8</v>
      </c>
      <c r="B97" t="s">
        <v>657</v>
      </c>
    </row>
    <row r="99" spans="1:8" ht="26">
      <c r="B99" s="53" t="s">
        <v>597</v>
      </c>
      <c r="C99" s="54" t="s">
        <v>650</v>
      </c>
      <c r="D99" s="54" t="s">
        <v>598</v>
      </c>
      <c r="E99" s="54" t="s">
        <v>651</v>
      </c>
      <c r="F99" s="88" t="s">
        <v>621</v>
      </c>
      <c r="G99" s="89" t="s">
        <v>652</v>
      </c>
      <c r="H99" s="89" t="s">
        <v>653</v>
      </c>
    </row>
    <row r="100" spans="1:8">
      <c r="B100" s="43" t="s">
        <v>603</v>
      </c>
      <c r="C100" s="43" t="s">
        <v>658</v>
      </c>
      <c r="D100" s="43" t="s">
        <v>659</v>
      </c>
      <c r="E100" s="44">
        <v>24200</v>
      </c>
      <c r="F100" s="86">
        <v>16800</v>
      </c>
      <c r="G100" s="44">
        <v>613.18188099999998</v>
      </c>
      <c r="H100" s="44">
        <v>79.291520300000002</v>
      </c>
    </row>
    <row r="102" spans="1:8">
      <c r="B102" s="79" t="s">
        <v>642</v>
      </c>
    </row>
    <row r="104" spans="1:8">
      <c r="A104">
        <v>9</v>
      </c>
      <c r="B104" t="s">
        <v>660</v>
      </c>
    </row>
    <row r="106" spans="1:8">
      <c r="A106">
        <v>10</v>
      </c>
      <c r="B106" t="s">
        <v>661</v>
      </c>
    </row>
    <row r="108" spans="1:8" ht="26">
      <c r="B108" s="53" t="s">
        <v>597</v>
      </c>
      <c r="C108" s="54" t="s">
        <v>662</v>
      </c>
      <c r="D108" s="54" t="s">
        <v>663</v>
      </c>
      <c r="E108" s="54" t="s">
        <v>664</v>
      </c>
      <c r="F108" s="88" t="s">
        <v>665</v>
      </c>
    </row>
    <row r="109" spans="1:8" ht="12.5" customHeight="1">
      <c r="B109" s="90" t="s">
        <v>666</v>
      </c>
      <c r="C109" s="90" t="s">
        <v>604</v>
      </c>
      <c r="D109" s="91" t="s">
        <v>667</v>
      </c>
      <c r="E109" s="92">
        <v>10000</v>
      </c>
      <c r="F109" s="93">
        <v>46266</v>
      </c>
    </row>
    <row r="110" spans="1:8">
      <c r="B110" s="90" t="s">
        <v>666</v>
      </c>
      <c r="C110" s="90" t="s">
        <v>608</v>
      </c>
      <c r="D110" s="94"/>
      <c r="E110" s="92">
        <v>10000</v>
      </c>
      <c r="F110" s="93">
        <v>47170</v>
      </c>
    </row>
    <row r="111" spans="1:8" ht="12.5" customHeight="1">
      <c r="B111" s="90" t="s">
        <v>666</v>
      </c>
      <c r="C111" s="90" t="s">
        <v>604</v>
      </c>
      <c r="D111" s="91" t="s">
        <v>668</v>
      </c>
      <c r="E111" s="92">
        <v>7500</v>
      </c>
      <c r="F111" s="93">
        <v>46266</v>
      </c>
    </row>
    <row r="112" spans="1:8">
      <c r="B112" s="90" t="s">
        <v>666</v>
      </c>
      <c r="C112" s="90" t="s">
        <v>608</v>
      </c>
      <c r="D112" s="94"/>
      <c r="E112" s="92">
        <v>7500</v>
      </c>
      <c r="F112" s="93">
        <v>47364</v>
      </c>
    </row>
    <row r="113" spans="2:6" ht="12.5" customHeight="1">
      <c r="B113" s="90" t="s">
        <v>669</v>
      </c>
      <c r="C113" s="90" t="s">
        <v>608</v>
      </c>
      <c r="D113" s="91" t="s">
        <v>670</v>
      </c>
      <c r="E113" s="92">
        <v>10000</v>
      </c>
      <c r="F113" s="93">
        <v>46266</v>
      </c>
    </row>
    <row r="114" spans="2:6">
      <c r="B114" s="90" t="s">
        <v>669</v>
      </c>
      <c r="C114" s="90" t="s">
        <v>604</v>
      </c>
      <c r="D114" s="94"/>
      <c r="E114" s="92">
        <v>10000</v>
      </c>
      <c r="F114" s="93">
        <v>48073</v>
      </c>
    </row>
    <row r="115" spans="2:6" ht="12.5" customHeight="1">
      <c r="B115" s="90" t="s">
        <v>669</v>
      </c>
      <c r="C115" s="90" t="s">
        <v>608</v>
      </c>
      <c r="D115" s="91" t="s">
        <v>671</v>
      </c>
      <c r="E115" s="92">
        <v>7500</v>
      </c>
      <c r="F115" s="93">
        <v>46266</v>
      </c>
    </row>
    <row r="116" spans="2:6">
      <c r="B116" s="90" t="s">
        <v>669</v>
      </c>
      <c r="C116" s="90" t="s">
        <v>604</v>
      </c>
      <c r="D116" s="94"/>
      <c r="E116" s="92">
        <v>7500</v>
      </c>
      <c r="F116" s="93">
        <v>48087</v>
      </c>
    </row>
    <row r="117" spans="2:6">
      <c r="B117" s="95"/>
      <c r="C117" s="95"/>
      <c r="D117" s="96"/>
      <c r="E117" s="97"/>
      <c r="F117" s="98"/>
    </row>
    <row r="118" spans="2:6">
      <c r="B118" s="50" t="s">
        <v>672</v>
      </c>
    </row>
    <row r="119" spans="2:6">
      <c r="B119" s="50" t="s">
        <v>673</v>
      </c>
    </row>
    <row r="120" spans="2:6">
      <c r="B120" s="95" t="s">
        <v>674</v>
      </c>
    </row>
    <row r="121" spans="2:6">
      <c r="B121" s="95" t="s">
        <v>675</v>
      </c>
    </row>
  </sheetData>
  <mergeCells count="10">
    <mergeCell ref="D109:D110"/>
    <mergeCell ref="D111:D112"/>
    <mergeCell ref="D113:D114"/>
    <mergeCell ref="D115:D116"/>
    <mergeCell ref="B3:F3"/>
    <mergeCell ref="B7:F7"/>
    <mergeCell ref="B22:E22"/>
    <mergeCell ref="B24:F24"/>
    <mergeCell ref="B37:H37"/>
    <mergeCell ref="B39:F39"/>
  </mergeCells>
  <pageMargins left="0.7" right="0.7" top="0.75" bottom="0.75" header="0.3" footer="0.3"/>
  <headerFooter>
    <oddHeader>&amp;C&amp;G</oddHeader>
  </headerFooter>
  <legacyDrawingHF r:id="rId1"/>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2</vt:i4>
      </vt:variant>
    </vt:vector>
  </HeadingPairs>
  <TitlesOfParts>
    <vt:vector size="2" baseType="lpstr">
      <vt:lpstr>E&amp;DF</vt:lpstr>
      <vt:lpstr>Derivative</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Gauridevi More</cp:lastModifiedBy>
  <dcterms:modified xsi:type="dcterms:W3CDTF">2026-09-08T07:15:12Z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c63c790-1b4f-473b-b88f-a693ca173b52_Enabled">
    <vt:lpwstr>true</vt:lpwstr>
  </property>
  <property fmtid="{D5CDD505-2E9C-101B-9397-08002B2CF9AE}" pid="3" name="MSIP_Label_8c63c790-1b4f-473b-b88f-a693ca173b52_SetDate">
    <vt:lpwstr>2026-09-08T07:14:21Z</vt:lpwstr>
  </property>
  <property fmtid="{D5CDD505-2E9C-101B-9397-08002B2CF9AE}" pid="4" name="MSIP_Label_8c63c790-1b4f-473b-b88f-a693ca173b52_Method">
    <vt:lpwstr>Privileged</vt:lpwstr>
  </property>
  <property fmtid="{D5CDD505-2E9C-101B-9397-08002B2CF9AE}" pid="5" name="MSIP_Label_8c63c790-1b4f-473b-b88f-a693ca173b52_Name">
    <vt:lpwstr>Internal</vt:lpwstr>
  </property>
  <property fmtid="{D5CDD505-2E9C-101B-9397-08002B2CF9AE}" pid="6" name="MSIP_Label_8c63c790-1b4f-473b-b88f-a693ca173b52_SiteId">
    <vt:lpwstr>4d8b04bf-7a7c-48a0-b6e3-38da5008297e</vt:lpwstr>
  </property>
  <property fmtid="{D5CDD505-2E9C-101B-9397-08002B2CF9AE}" pid="7" name="MSIP_Label_8c63c790-1b4f-473b-b88f-a693ca173b52_ActionId">
    <vt:lpwstr>d567fb28-cc0a-4480-a7d9-d7ed4e338ca8</vt:lpwstr>
  </property>
  <property fmtid="{D5CDD505-2E9C-101B-9397-08002B2CF9AE}" pid="8" name="MSIP_Label_8c63c790-1b4f-473b-b88f-a693ca173b52_ContentBits">
    <vt:lpwstr>4</vt:lpwstr>
  </property>
  <property fmtid="{D5CDD505-2E9C-101B-9397-08002B2CF9AE}" pid="9" name="MSIP_Label_8c63c790-1b4f-473b-b88f-a693ca173b52_Tag">
    <vt:lpwstr>10, 0, 1, 1</vt:lpwstr>
  </property>
</Properties>
</file>