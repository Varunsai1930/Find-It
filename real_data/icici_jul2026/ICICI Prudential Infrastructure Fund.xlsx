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 activeTab="1"/>
  </bookViews>
  <sheets>
    <sheet name="INFRA" sheetId="2" r:id="rId1"/>
    <sheet name="Derivative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G5" i="2"/>
</calcChain>
</file>

<file path=xl/sharedStrings.xml><?xml version="1.0" encoding="utf-8"?>
<sst xmlns="http://schemas.openxmlformats.org/spreadsheetml/2006/main" count="764" uniqueCount="272">
  <si>
    <t>ICICI Prudential Mutual Fund</t>
  </si>
  <si>
    <t>ICICI Prudential Infrastructure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</si>
  <si>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</si>
  <si>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</si>
  <si>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</si>
  <si>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</si>
  <si>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</si>
  <si>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</si>
  <si>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</si>
  <si>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</si>
  <si>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</si>
  <si>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</si>
  <si>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</si>
  <si>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</si>
  <si>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</si>
  <si>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Interglobe Aviation Ltd.</t>
  </si>
  <si>
    <t>INE646L01027</t>
  </si>
  <si>
    <t>Transport Services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</si>
  <si>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</si>
  <si>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</si>
  <si>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</si>
  <si>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</si>
  <si>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</si>
  <si>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</si>
  <si>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Oberoi Realty Ltd.</t>
  </si>
  <si>
    <t>INE093I01010</t>
  </si>
  <si>
    <t>Realty</t>
  </si>
  <si>
    <t>NTPC Ltd.</t>
  </si>
  <si>
    <t>INE733E01010</t>
  </si>
  <si>
    <t>Power</t>
  </si>
  <si>
    <t>Shree Cements Ltd.</t>
  </si>
  <si>
    <t>INE070A01015</t>
  </si>
  <si>
    <t>Cement &amp; Cement Products</t>
  </si>
  <si>
    <t>HDFC Bank Ltd.</t>
  </si>
  <si>
    <t>INE040A01034</t>
  </si>
  <si>
    <t>Banks</t>
  </si>
  <si>
    <t>Brigade Enterprises Ltd.</t>
  </si>
  <si>
    <t>INE791I01019</t>
  </si>
  <si>
    <t>Kalpataru Projects International Ltd</t>
  </si>
  <si>
    <t>INE220B01022</t>
  </si>
  <si>
    <t>AIA Engineering Ltd.</t>
  </si>
  <si>
    <t>INE212H01026</t>
  </si>
  <si>
    <t>Industrial Products</t>
  </si>
  <si>
    <t>Gujarat Gas Ltd.</t>
  </si>
  <si>
    <t>INE844O01030</t>
  </si>
  <si>
    <t>Gas</t>
  </si>
  <si>
    <t>NCC Ltd.</t>
  </si>
  <si>
    <t>INE868B01028</t>
  </si>
  <si>
    <t>Tata Steel Ltd.</t>
  </si>
  <si>
    <t>INE081A01020</t>
  </si>
  <si>
    <t>Ferrous Metals</t>
  </si>
  <si>
    <t>Container Corporation Of India Ltd.</t>
  </si>
  <si>
    <t>INE111A01025</t>
  </si>
  <si>
    <t>Afcons Infrastructure Ltd.</t>
  </si>
  <si>
    <t>INE101I01011</t>
  </si>
  <si>
    <t>Ratnamani Metals &amp; Tubes Ltd.</t>
  </si>
  <si>
    <t>INE703B01027</t>
  </si>
  <si>
    <t>CESC Ltd.</t>
  </si>
  <si>
    <t>INE486A01021</t>
  </si>
  <si>
    <t>Axis Bank Ltd.</t>
  </si>
  <si>
    <t>INE238A01034</t>
  </si>
  <si>
    <t>SBI Cards &amp; Payment Services Ltd.</t>
  </si>
  <si>
    <t>INE018E01016</t>
  </si>
  <si>
    <t>Finance</t>
  </si>
  <si>
    <t>ABB India Ltd.</t>
  </si>
  <si>
    <t>INE117A01022</t>
  </si>
  <si>
    <t>Electrical Equipment</t>
  </si>
  <si>
    <t>Ingersoll - Rand (India) Ltd</t>
  </si>
  <si>
    <t>INE177A01018</t>
  </si>
  <si>
    <t>GMM Pfaudler Ltd.</t>
  </si>
  <si>
    <t>INE541A01023</t>
  </si>
  <si>
    <t>Industrial Manufacturing</t>
  </si>
  <si>
    <t>KNR Constructions Ltd.</t>
  </si>
  <si>
    <t>INE634I01029</t>
  </si>
  <si>
    <t>Hindalco Industries Ltd.</t>
  </si>
  <si>
    <t>INE038A01020</t>
  </si>
  <si>
    <t>Non - Ferrous Metals</t>
  </si>
  <si>
    <t>Oil &amp; Natural Gas Corporation Ltd.</t>
  </si>
  <si>
    <t>INE213A01029</t>
  </si>
  <si>
    <t>Oil</t>
  </si>
  <si>
    <t>Sona Blw Precision Forgings Ltd.</t>
  </si>
  <si>
    <t>INE073K01018</t>
  </si>
  <si>
    <t>Auto Components</t>
  </si>
  <si>
    <t>Adani Ports and Special Economic Zone Ltd.</t>
  </si>
  <si>
    <t>INE742F01042</t>
  </si>
  <si>
    <t>Transport Infrastructure</t>
  </si>
  <si>
    <t>KSB Ltd.</t>
  </si>
  <si>
    <t>INE999A01023</t>
  </si>
  <si>
    <t>IndusInd Bank Ltd.</t>
  </si>
  <si>
    <t>INE095A01012</t>
  </si>
  <si>
    <t>Bajaj Finserv Ltd.</t>
  </si>
  <si>
    <t>INE918I01026</t>
  </si>
  <si>
    <t>Oil India Ltd.</t>
  </si>
  <si>
    <t>INE274J01014</t>
  </si>
  <si>
    <t>Nuvoco Vistas Corporation Ltd.</t>
  </si>
  <si>
    <t>INE118D01016</t>
  </si>
  <si>
    <t>Triveni Turbine Ltd.</t>
  </si>
  <si>
    <t>INE152M01016</t>
  </si>
  <si>
    <t>INOX India Ltd</t>
  </si>
  <si>
    <t>INE616N01034</t>
  </si>
  <si>
    <t>Cummins India Ltd.</t>
  </si>
  <si>
    <t>INE298A01020</t>
  </si>
  <si>
    <t>SIEMENS ENERGY INDIA LTD</t>
  </si>
  <si>
    <t>INE1NPP01017</t>
  </si>
  <si>
    <t>Jm Financial Ltd.</t>
  </si>
  <si>
    <t>INE780C01023</t>
  </si>
  <si>
    <t>Ambuja Cements Ltd.</t>
  </si>
  <si>
    <t>INE079A01024</t>
  </si>
  <si>
    <t>IRB Infrastructure Developers Ltd.</t>
  </si>
  <si>
    <t>INE821I01022</t>
  </si>
  <si>
    <t>NHPC Ltd.</t>
  </si>
  <si>
    <t>INE848E01016</t>
  </si>
  <si>
    <t>CIE Automotive India Ltd</t>
  </si>
  <si>
    <t>INE536H01010</t>
  </si>
  <si>
    <t>Vedanta Aluminium Metal Ltd.</t>
  </si>
  <si>
    <t>INE1CDF01017</t>
  </si>
  <si>
    <t>ACC Ltd.</t>
  </si>
  <si>
    <t>INE012A01025</t>
  </si>
  <si>
    <t>Voltamp Transformers Ltd.</t>
  </si>
  <si>
    <t>INE540H01012</t>
  </si>
  <si>
    <t>Honeywell Automation India Ltd.</t>
  </si>
  <si>
    <t>INE671A01010</t>
  </si>
  <si>
    <t>Coal India Ltd.</t>
  </si>
  <si>
    <t>INE522F01014</t>
  </si>
  <si>
    <t>Consumable Fuels</t>
  </si>
  <si>
    <t>PSP Projects Ltd</t>
  </si>
  <si>
    <t>INE488V01015</t>
  </si>
  <si>
    <t>GSPL India Transco Ltd</t>
  </si>
  <si>
    <t>INE1TUG01013</t>
  </si>
  <si>
    <t>Juniper Green Energy Ltd.</t>
  </si>
  <si>
    <t>INE05C901015</t>
  </si>
  <si>
    <t>Wework India Management Ltd</t>
  </si>
  <si>
    <t>INE085001019</t>
  </si>
  <si>
    <t>Commercial Services &amp; Supplies</t>
  </si>
  <si>
    <t>SKF INDIA Industrial Ltd.</t>
  </si>
  <si>
    <t>INE2J8701016</t>
  </si>
  <si>
    <t>Orient Refractories Ltd.</t>
  </si>
  <si>
    <t>INE743M01012</t>
  </si>
  <si>
    <t>V-Guard Industries Ltd.</t>
  </si>
  <si>
    <t>INE951I01027</t>
  </si>
  <si>
    <t>Consumer Durables</t>
  </si>
  <si>
    <t>Carborundum Universal Ltd.</t>
  </si>
  <si>
    <t>INE120A01034</t>
  </si>
  <si>
    <t>KEC International Ltd.</t>
  </si>
  <si>
    <t>INE389H01022</t>
  </si>
  <si>
    <t>JSW Infrastructure Ltd</t>
  </si>
  <si>
    <t>INE880J01026</t>
  </si>
  <si>
    <t>Vedanta Ltd.</t>
  </si>
  <si>
    <t>INE205A01025</t>
  </si>
  <si>
    <t>Diversified Metals</t>
  </si>
  <si>
    <t>Vesuvius India Ltd</t>
  </si>
  <si>
    <t>INE386A01023</t>
  </si>
  <si>
    <t>Ultratech Cement Ltd.</t>
  </si>
  <si>
    <t>INE481G01011</t>
  </si>
  <si>
    <t>Heidleberg Cement India Ltd.</t>
  </si>
  <si>
    <t>INE578A01017</t>
  </si>
  <si>
    <t>Gateway Distriparks Ltd.</t>
  </si>
  <si>
    <t>INE079J01017</t>
  </si>
  <si>
    <t>Chemplast Sanmar Ltd</t>
  </si>
  <si>
    <t>INE488A01050</t>
  </si>
  <si>
    <t>Chemicals &amp; Petrochemicals</t>
  </si>
  <si>
    <t>Sagar Cements Ltd.</t>
  </si>
  <si>
    <t>INE229C01021</t>
  </si>
  <si>
    <t>Route Mobile Ltd.</t>
  </si>
  <si>
    <t>INE450U01017</t>
  </si>
  <si>
    <t>Telecom - Services</t>
  </si>
  <si>
    <t>Supreme Industries Ltd.</t>
  </si>
  <si>
    <t>INE195A01028</t>
  </si>
  <si>
    <t>Vedanta Oil And Gas Ltd.</t>
  </si>
  <si>
    <t>INE704J01044</t>
  </si>
  <si>
    <t>Vedanta Power Ltd.</t>
  </si>
  <si>
    <t>INE694L01019</t>
  </si>
  <si>
    <t>Techno Electric &amp; Engineering Company Ltd.</t>
  </si>
  <si>
    <t>INE285K01026</t>
  </si>
  <si>
    <t>Vedanta Iron And Steel Ltd.</t>
  </si>
  <si>
    <t>INE1CLE01013</t>
  </si>
  <si>
    <t>Power Grid Corporation Of India Ltd.</t>
  </si>
  <si>
    <t>INE752E01010</t>
  </si>
  <si>
    <t>Units of Real Estate Investment Trust (REITs)</t>
  </si>
  <si>
    <t>EMBASSY OFFICE PARKS REIT</t>
  </si>
  <si>
    <t>INE041025011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</si>
  <si>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</si>
  <si>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</si>
  <si>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</si>
  <si>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</si>
  <si>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</si>
  <si>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</si>
  <si>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</si>
  <si>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</si>
  <si>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</si>
  <si>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</si>
  <si>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</si>
  <si>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</si>
  <si>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IN002025Y479</t>
  </si>
  <si>
    <t>SOV</t>
  </si>
  <si>
    <t>91 Days Treasury Bills</t>
  </si>
  <si>
    <t>IN002026X131</t>
  </si>
  <si>
    <t>IN002026X073</t>
  </si>
  <si>
    <t>364 Days Treasury Bills</t>
  </si>
  <si>
    <t>IN002025Z278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</si>
  <si>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</si>
  <si>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</si>
  <si>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</si>
  <si>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</si>
  <si>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</si>
  <si>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</si>
  <si>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</si>
  <si>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</si>
  <si>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SBI Cards and Payment Services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</si>
  <si>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</si>
  <si>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</si>
  <si>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</si>
  <si>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</si>
  <si>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Infrastructure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</si>
  <si>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</si>
  <si>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</si>
  <si>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</si>
  <si>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</si>
  <si>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</si>
  <si>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</si>
  <si>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</si>
  <si>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</si>
  <si>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</si>
  <si>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</si>
  <si>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</si>
  <si>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</si>
  <si>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</si>
  <si>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0.66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</si>
  <si>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</si>
  <si>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</si>
  <si>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</si>
  <si>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</si>
  <si>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</si>
  <si>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</si>
  <si>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</si>
  <si>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</si>
  <si>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</si>
  <si>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India Infrastructure TRI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</si>
  <si>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</si>
  <si>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</si>
  <si>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</si>
  <si>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</si>
  <si>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</si>
  <si>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</si>
  <si>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</si>
  <si>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</si>
  <si>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</si>
  <si>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</si>
  <si>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</si>
  <si>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INFRA</t>
  </si>
  <si>
    <t>SBI Cards &amp; Payment Services Ltd</t>
  </si>
  <si>
    <t>Long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</si>
  <si>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</si>
  <si>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</si>
  <si>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</si>
  <si>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</si>
  <si>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</si>
  <si>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</si>
  <si>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 Nil</t>
  </si>
  <si>
    <t>6 b</t>
  </si>
  <si>
    <t>For the Period ended July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</si>
  <si>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</si>
  <si>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</si>
  <si>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</si>
  <si>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</si>
  <si>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</si>
  <si>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</si>
  <si>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</si>
  <si>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* Number of contracts have been arrived using the applicable lot size as on the date of original purchase.</t>
  </si>
  <si>
    <t>Transaction through Covered Call Options which have already been exercised/expired during the period ended July 31, 2026 is Nil.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</si>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</sst>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60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0" fontId="14" fillId="0" borderId="0" xfId="8" applyFont="1"/>
    <xf numFmtId="4" fontId="14" fillId="0" borderId="0" xfId="8" applyNumberFormat="1" applyFont="1"/>
    <xf numFmtId="4" fontId="14" fillId="0" borderId="0" xfId="8" applyNumberFormat="1" applyFont="1" applyAlignment="1">
      <alignment horizontal="right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2" fontId="15" fillId="0" borderId="2" xfId="8" applyNumberFormat="1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4" fillId="0" borderId="9" xfId="4" applyFont="1" applyFill="1" applyBorder="1" applyProtection="1"/>
    <xf numFmtId="167" fontId="16" fillId="0" borderId="9" xfId="4" applyFont="1" applyFill="1" applyBorder="1" applyAlignment="1" applyProtection="1">
      <alignment horizontal="right"/>
    </xf>
    <xf numFmtId="167" fontId="16" fillId="0" borderId="9" xfId="4" applyFont="1" applyFill="1" applyBorder="1" applyProtection="1"/>
    <xf numFmtId="10" fontId="16" fillId="0" borderId="9" xfId="4" applyNumberFormat="1" applyFont="1" applyFill="1" applyBorder="1" applyProtection="1"/>
    <xf numFmtId="0" fontId="14" fillId="0" borderId="0" xfId="6" applyFont="1"/>
    <xf numFmtId="0" fontId="0" fillId="0" borderId="0" xfId="0" applyAlignment="1">
      <alignment wrapText="1"/>
    </xf>
    <xf numFmtId="0" fontId="12" fillId="0" borderId="0" xfId="6" applyFont="1"/>
    <xf numFmtId="0" fontId="15" fillId="0" borderId="0" xfId="8" applyFont="1"/>
    <xf numFmtId="4" fontId="14" fillId="0" borderId="9" xfId="8" applyNumberFormat="1" applyFont="1" applyBorder="1" applyAlignment="1">
      <alignment horizontal="right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155</xdr:row>
      <xdr:rowOff>0</xdr:rowOff>
    </xdr:from>
    <xdr:to>
      <xdr:col>2</xdr:col>
      <xdr:colOff>0</xdr:colOff>
      <xdr:row>165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9546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0</xdr:colOff>
      <xdr:row>180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2404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9"/>
  <sheetViews>
    <sheetView workbookViewId="0">
      <selection activeCell="K2" sqref="K2"/>
    </sheetView>
  </sheetViews>
  <sheetFormatPr defaultColWidth="10" defaultRowHeight="15" customHeight="1" x14ac:dyDescent="0.2"/>
  <cols>
    <col min="1" max="1" width="10" style="18" customWidth="1"/>
    <col min="2" max="2" width="50.28515625" style="18" customWidth="1"/>
    <col min="3" max="3" width="18.85546875" style="18" customWidth="1"/>
    <col min="4" max="4" width="12.7109375" style="18" customWidth="1"/>
    <col min="5" max="5" width="35.140625" style="18" customWidth="1"/>
    <col min="6" max="6" width="10.28515625" style="18" bestFit="1" customWidth="1"/>
    <col min="7" max="7" width="18.85546875" style="18" customWidth="1"/>
    <col min="8" max="8" width="10.7109375" style="18" bestFit="1" customWidth="1"/>
    <col min="9" max="10" width="16.7109375" style="18" customWidth="1"/>
  </cols>
  <sheetData>
    <row r="1" spans="2:10" ht="15" customHeight="1" x14ac:dyDescent="0.2">
      <c r="B1" s="56" t="s">
        <v>0</v>
      </c>
      <c r="C1" s="56"/>
      <c r="D1" s="56"/>
      <c r="E1" s="56"/>
      <c r="F1" s="56"/>
      <c r="G1" s="56"/>
      <c r="H1" s="56"/>
      <c r="I1" s="56"/>
      <c r="J1" s="56"/>
    </row>
    <row r="2" spans="2:10" ht="15" customHeight="1" x14ac:dyDescent="0.2">
      <c r="B2" s="57" t="s">
        <v>1</v>
      </c>
      <c r="C2" s="57"/>
      <c r="D2" s="57"/>
      <c r="E2" s="57"/>
      <c r="F2" s="57"/>
      <c r="G2" s="57"/>
      <c r="H2" s="57"/>
      <c r="I2" s="57"/>
      <c r="J2" s="57"/>
    </row>
    <row r="3" spans="2:10" ht="15" customHeight="1" x14ac:dyDescent="0.2">
      <c r="B3" s="58" t="s">
        <v>2</v>
      </c>
      <c r="C3" s="58"/>
      <c r="D3" s="58"/>
      <c r="E3" s="58"/>
      <c r="F3" s="58"/>
      <c r="G3" s="58"/>
      <c r="H3" s="58"/>
      <c r="I3" s="58"/>
      <c r="J3" s="58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f>G7+G79</f>
        <v>820118.83000000019</v>
      </c>
      <c r="H5" s="7">
        <f>H7+H79</f>
        <v>0.96225651551360014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814950.55000000016</v>
      </c>
      <c r="H7" s="7">
        <v>0.95619250268760014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1301985</v>
      </c>
      <c r="G8" s="12">
        <v>67325.64</v>
      </c>
      <c r="H8" s="13">
        <v>7.8994084005300003E-2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1268485</v>
      </c>
      <c r="G9" s="12">
        <v>49964.36</v>
      </c>
      <c r="H9" s="13">
        <v>5.8623859366299998E-2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23</v>
      </c>
      <c r="F10" s="11">
        <v>3029725</v>
      </c>
      <c r="G10" s="12">
        <v>39622.74</v>
      </c>
      <c r="H10" s="13">
        <v>4.6489896747799998E-2</v>
      </c>
      <c r="I10" s="12" t="s">
        <v>13</v>
      </c>
      <c r="J10" s="8" t="s">
        <v>13</v>
      </c>
    </row>
    <row r="11" spans="2:10" ht="15" customHeight="1" x14ac:dyDescent="0.2">
      <c r="B11" s="9" t="s">
        <v>24</v>
      </c>
      <c r="C11" s="10" t="s">
        <v>25</v>
      </c>
      <c r="D11" s="10" t="s">
        <v>13</v>
      </c>
      <c r="E11" s="10" t="s">
        <v>26</v>
      </c>
      <c r="F11" s="11">
        <v>2038517</v>
      </c>
      <c r="G11" s="12">
        <v>37257.980000000003</v>
      </c>
      <c r="H11" s="13">
        <v>4.37152918559E-2</v>
      </c>
      <c r="I11" s="12" t="s">
        <v>13</v>
      </c>
      <c r="J11" s="8" t="s">
        <v>13</v>
      </c>
    </row>
    <row r="12" spans="2:10" ht="15" customHeight="1" x14ac:dyDescent="0.2">
      <c r="B12" s="9" t="s">
        <v>27</v>
      </c>
      <c r="C12" s="10" t="s">
        <v>28</v>
      </c>
      <c r="D12" s="10" t="s">
        <v>13</v>
      </c>
      <c r="E12" s="10" t="s">
        <v>29</v>
      </c>
      <c r="F12" s="11">
        <v>8626448</v>
      </c>
      <c r="G12" s="12">
        <v>29955.34</v>
      </c>
      <c r="H12" s="13">
        <v>3.5147005574200002E-2</v>
      </c>
      <c r="I12" s="12" t="s">
        <v>13</v>
      </c>
      <c r="J12" s="8" t="s">
        <v>13</v>
      </c>
    </row>
    <row r="13" spans="2:10" ht="15" customHeight="1" x14ac:dyDescent="0.2">
      <c r="B13" s="9" t="s">
        <v>30</v>
      </c>
      <c r="C13" s="10" t="s">
        <v>31</v>
      </c>
      <c r="D13" s="10" t="s">
        <v>13</v>
      </c>
      <c r="E13" s="10" t="s">
        <v>32</v>
      </c>
      <c r="F13" s="11">
        <v>106892</v>
      </c>
      <c r="G13" s="12">
        <v>27850.71</v>
      </c>
      <c r="H13" s="13">
        <v>3.2677614729599999E-2</v>
      </c>
      <c r="I13" s="12" t="s">
        <v>13</v>
      </c>
      <c r="J13" s="8" t="s">
        <v>13</v>
      </c>
    </row>
    <row r="14" spans="2:10" ht="15" customHeight="1" x14ac:dyDescent="0.2">
      <c r="B14" s="9" t="s">
        <v>33</v>
      </c>
      <c r="C14" s="10" t="s">
        <v>34</v>
      </c>
      <c r="D14" s="10" t="s">
        <v>13</v>
      </c>
      <c r="E14" s="10" t="s">
        <v>35</v>
      </c>
      <c r="F14" s="11">
        <v>3357506</v>
      </c>
      <c r="G14" s="12">
        <v>25119.18</v>
      </c>
      <c r="H14" s="13">
        <v>2.94726736361E-2</v>
      </c>
      <c r="I14" s="12" t="s">
        <v>13</v>
      </c>
      <c r="J14" s="8" t="s">
        <v>13</v>
      </c>
    </row>
    <row r="15" spans="2:10" ht="15" customHeight="1" x14ac:dyDescent="0.2">
      <c r="B15" s="9" t="s">
        <v>36</v>
      </c>
      <c r="C15" s="10" t="s">
        <v>37</v>
      </c>
      <c r="D15" s="10" t="s">
        <v>13</v>
      </c>
      <c r="E15" s="10" t="s">
        <v>26</v>
      </c>
      <c r="F15" s="11">
        <v>4257556</v>
      </c>
      <c r="G15" s="12">
        <v>24702.34</v>
      </c>
      <c r="H15" s="13">
        <v>2.8983589626299999E-2</v>
      </c>
      <c r="I15" s="12" t="s">
        <v>13</v>
      </c>
      <c r="J15" s="8" t="s">
        <v>13</v>
      </c>
    </row>
    <row r="16" spans="2:10" ht="15" customHeight="1" x14ac:dyDescent="0.2">
      <c r="B16" s="9" t="s">
        <v>38</v>
      </c>
      <c r="C16" s="10" t="s">
        <v>39</v>
      </c>
      <c r="D16" s="10" t="s">
        <v>13</v>
      </c>
      <c r="E16" s="10" t="s">
        <v>20</v>
      </c>
      <c r="F16" s="11">
        <v>1830742</v>
      </c>
      <c r="G16" s="12">
        <v>23609.25</v>
      </c>
      <c r="H16" s="13">
        <v>2.7701052345000001E-2</v>
      </c>
      <c r="I16" s="12" t="s">
        <v>13</v>
      </c>
      <c r="J16" s="8" t="s">
        <v>13</v>
      </c>
    </row>
    <row r="17" spans="2:10" ht="15" customHeight="1" x14ac:dyDescent="0.2">
      <c r="B17" s="9" t="s">
        <v>40</v>
      </c>
      <c r="C17" s="10" t="s">
        <v>41</v>
      </c>
      <c r="D17" s="10" t="s">
        <v>13</v>
      </c>
      <c r="E17" s="10" t="s">
        <v>42</v>
      </c>
      <c r="F17" s="11">
        <v>507392</v>
      </c>
      <c r="G17" s="12">
        <v>23294.37</v>
      </c>
      <c r="H17" s="13">
        <v>2.7331599382199999E-2</v>
      </c>
      <c r="I17" s="12" t="s">
        <v>13</v>
      </c>
      <c r="J17" s="8" t="s">
        <v>13</v>
      </c>
    </row>
    <row r="18" spans="2:10" ht="15" customHeight="1" x14ac:dyDescent="0.2">
      <c r="B18" s="9" t="s">
        <v>43</v>
      </c>
      <c r="C18" s="10" t="s">
        <v>44</v>
      </c>
      <c r="D18" s="10" t="s">
        <v>13</v>
      </c>
      <c r="E18" s="10" t="s">
        <v>45</v>
      </c>
      <c r="F18" s="11">
        <v>8279421</v>
      </c>
      <c r="G18" s="12">
        <v>22727.01</v>
      </c>
      <c r="H18" s="13">
        <v>2.6665908220499999E-2</v>
      </c>
      <c r="I18" s="12" t="s">
        <v>13</v>
      </c>
      <c r="J18" s="8" t="s">
        <v>13</v>
      </c>
    </row>
    <row r="19" spans="2:10" ht="15" customHeight="1" x14ac:dyDescent="0.2">
      <c r="B19" s="9" t="s">
        <v>46</v>
      </c>
      <c r="C19" s="10" t="s">
        <v>47</v>
      </c>
      <c r="D19" s="10" t="s">
        <v>13</v>
      </c>
      <c r="E19" s="10" t="s">
        <v>20</v>
      </c>
      <c r="F19" s="11">
        <v>14665904</v>
      </c>
      <c r="G19" s="12">
        <v>20690.66</v>
      </c>
      <c r="H19" s="13">
        <v>2.42766312234E-2</v>
      </c>
      <c r="I19" s="12" t="s">
        <v>13</v>
      </c>
      <c r="J19" s="8" t="s">
        <v>13</v>
      </c>
    </row>
    <row r="20" spans="2:10" ht="15" customHeight="1" x14ac:dyDescent="0.2">
      <c r="B20" s="9" t="s">
        <v>48</v>
      </c>
      <c r="C20" s="10" t="s">
        <v>49</v>
      </c>
      <c r="D20" s="10" t="s">
        <v>13</v>
      </c>
      <c r="E20" s="10" t="s">
        <v>50</v>
      </c>
      <c r="F20" s="11">
        <v>10400024</v>
      </c>
      <c r="G20" s="12">
        <v>19727.810000000001</v>
      </c>
      <c r="H20" s="13">
        <v>2.3146906295700001E-2</v>
      </c>
      <c r="I20" s="12" t="s">
        <v>13</v>
      </c>
      <c r="J20" s="8" t="s">
        <v>13</v>
      </c>
    </row>
    <row r="21" spans="2:10" ht="15" customHeight="1" x14ac:dyDescent="0.2">
      <c r="B21" s="9" t="s">
        <v>51</v>
      </c>
      <c r="C21" s="10" t="s">
        <v>52</v>
      </c>
      <c r="D21" s="10" t="s">
        <v>13</v>
      </c>
      <c r="E21" s="10" t="s">
        <v>17</v>
      </c>
      <c r="F21" s="11">
        <v>3531172</v>
      </c>
      <c r="G21" s="12">
        <v>18556.310000000001</v>
      </c>
      <c r="H21" s="13">
        <v>2.1772369500899998E-2</v>
      </c>
      <c r="I21" s="12" t="s">
        <v>13</v>
      </c>
      <c r="J21" s="8" t="s">
        <v>13</v>
      </c>
    </row>
    <row r="22" spans="2:10" ht="15" customHeight="1" x14ac:dyDescent="0.2">
      <c r="B22" s="9" t="s">
        <v>53</v>
      </c>
      <c r="C22" s="10" t="s">
        <v>54</v>
      </c>
      <c r="D22" s="10" t="s">
        <v>13</v>
      </c>
      <c r="E22" s="10" t="s">
        <v>20</v>
      </c>
      <c r="F22" s="11">
        <v>6172561</v>
      </c>
      <c r="G22" s="12">
        <v>16736.900000000001</v>
      </c>
      <c r="H22" s="13">
        <v>1.963763114E-2</v>
      </c>
      <c r="I22" s="12" t="s">
        <v>13</v>
      </c>
      <c r="J22" s="8" t="s">
        <v>13</v>
      </c>
    </row>
    <row r="23" spans="2:10" ht="15" customHeight="1" x14ac:dyDescent="0.2">
      <c r="B23" s="9" t="s">
        <v>55</v>
      </c>
      <c r="C23" s="10" t="s">
        <v>56</v>
      </c>
      <c r="D23" s="10" t="s">
        <v>13</v>
      </c>
      <c r="E23" s="10" t="s">
        <v>42</v>
      </c>
      <c r="F23" s="11">
        <v>680739</v>
      </c>
      <c r="G23" s="12">
        <v>16057.95</v>
      </c>
      <c r="H23" s="13">
        <v>1.8841009922099999E-2</v>
      </c>
      <c r="I23" s="12" t="s">
        <v>13</v>
      </c>
      <c r="J23" s="8" t="s">
        <v>13</v>
      </c>
    </row>
    <row r="24" spans="2:10" ht="15" customHeight="1" x14ac:dyDescent="0.2">
      <c r="B24" s="9" t="s">
        <v>57</v>
      </c>
      <c r="C24" s="10" t="s">
        <v>58</v>
      </c>
      <c r="D24" s="10" t="s">
        <v>13</v>
      </c>
      <c r="E24" s="10" t="s">
        <v>29</v>
      </c>
      <c r="F24" s="11">
        <v>9135725</v>
      </c>
      <c r="G24" s="12">
        <v>15126.02</v>
      </c>
      <c r="H24" s="13">
        <v>1.77475638485E-2</v>
      </c>
      <c r="I24" s="12" t="s">
        <v>13</v>
      </c>
      <c r="J24" s="8" t="s">
        <v>13</v>
      </c>
    </row>
    <row r="25" spans="2:10" ht="15" customHeight="1" x14ac:dyDescent="0.2">
      <c r="B25" s="9" t="s">
        <v>59</v>
      </c>
      <c r="C25" s="10" t="s">
        <v>60</v>
      </c>
      <c r="D25" s="10" t="s">
        <v>13</v>
      </c>
      <c r="E25" s="10" t="s">
        <v>35</v>
      </c>
      <c r="F25" s="11">
        <v>1214807</v>
      </c>
      <c r="G25" s="12">
        <v>14936.05</v>
      </c>
      <c r="H25" s="13">
        <v>1.75246694781E-2</v>
      </c>
      <c r="I25" s="12" t="s">
        <v>13</v>
      </c>
      <c r="J25" s="8" t="s">
        <v>13</v>
      </c>
    </row>
    <row r="26" spans="2:10" ht="15" customHeight="1" x14ac:dyDescent="0.2">
      <c r="B26" s="9" t="s">
        <v>61</v>
      </c>
      <c r="C26" s="10" t="s">
        <v>62</v>
      </c>
      <c r="D26" s="10" t="s">
        <v>13</v>
      </c>
      <c r="E26" s="10" t="s">
        <v>63</v>
      </c>
      <c r="F26" s="11">
        <v>2002011</v>
      </c>
      <c r="G26" s="12">
        <v>13216.28</v>
      </c>
      <c r="H26" s="13">
        <v>1.5506840076899999E-2</v>
      </c>
      <c r="I26" s="12" t="s">
        <v>13</v>
      </c>
      <c r="J26" s="8" t="s">
        <v>13</v>
      </c>
    </row>
    <row r="27" spans="2:10" ht="15" customHeight="1" x14ac:dyDescent="0.2">
      <c r="B27" s="9" t="s">
        <v>64</v>
      </c>
      <c r="C27" s="10" t="s">
        <v>65</v>
      </c>
      <c r="D27" s="10" t="s">
        <v>13</v>
      </c>
      <c r="E27" s="10" t="s">
        <v>66</v>
      </c>
      <c r="F27" s="11">
        <v>180000</v>
      </c>
      <c r="G27" s="12">
        <v>13112.1</v>
      </c>
      <c r="H27" s="13">
        <v>1.53846042738E-2</v>
      </c>
      <c r="I27" s="12" t="s">
        <v>13</v>
      </c>
      <c r="J27" s="8" t="s">
        <v>13</v>
      </c>
    </row>
    <row r="28" spans="2:10" ht="15" customHeight="1" x14ac:dyDescent="0.2">
      <c r="B28" s="9" t="s">
        <v>67</v>
      </c>
      <c r="C28" s="10" t="s">
        <v>68</v>
      </c>
      <c r="D28" s="10" t="s">
        <v>13</v>
      </c>
      <c r="E28" s="10" t="s">
        <v>42</v>
      </c>
      <c r="F28" s="11">
        <v>290460</v>
      </c>
      <c r="G28" s="12">
        <v>12593.18</v>
      </c>
      <c r="H28" s="13">
        <v>1.4775748419299999E-2</v>
      </c>
      <c r="I28" s="12" t="s">
        <v>13</v>
      </c>
      <c r="J28" s="8" t="s">
        <v>13</v>
      </c>
    </row>
    <row r="29" spans="2:10" ht="15" customHeight="1" x14ac:dyDescent="0.2">
      <c r="B29" s="9" t="s">
        <v>69</v>
      </c>
      <c r="C29" s="10" t="s">
        <v>70</v>
      </c>
      <c r="D29" s="10" t="s">
        <v>13</v>
      </c>
      <c r="E29" s="10" t="s">
        <v>71</v>
      </c>
      <c r="F29" s="11">
        <v>1453836</v>
      </c>
      <c r="G29" s="12">
        <v>12566.96</v>
      </c>
      <c r="H29" s="13">
        <v>1.47449841387E-2</v>
      </c>
      <c r="I29" s="12" t="s">
        <v>13</v>
      </c>
      <c r="J29" s="8" t="s">
        <v>13</v>
      </c>
    </row>
    <row r="30" spans="2:10" ht="15" customHeight="1" x14ac:dyDescent="0.2">
      <c r="B30" s="9" t="s">
        <v>72</v>
      </c>
      <c r="C30" s="10" t="s">
        <v>73</v>
      </c>
      <c r="D30" s="10" t="s">
        <v>13</v>
      </c>
      <c r="E30" s="10" t="s">
        <v>20</v>
      </c>
      <c r="F30" s="11">
        <v>10132169</v>
      </c>
      <c r="G30" s="12">
        <v>12346.05</v>
      </c>
      <c r="H30" s="13">
        <v>1.44857874479E-2</v>
      </c>
      <c r="I30" s="12" t="s">
        <v>13</v>
      </c>
      <c r="J30" s="8" t="s">
        <v>13</v>
      </c>
    </row>
    <row r="31" spans="2:10" ht="15" customHeight="1" x14ac:dyDescent="0.2">
      <c r="B31" s="9" t="s">
        <v>74</v>
      </c>
      <c r="C31" s="10" t="s">
        <v>75</v>
      </c>
      <c r="D31" s="10" t="s">
        <v>13</v>
      </c>
      <c r="E31" s="10" t="s">
        <v>76</v>
      </c>
      <c r="F31" s="11">
        <v>1244049</v>
      </c>
      <c r="G31" s="12">
        <v>12122.64</v>
      </c>
      <c r="H31" s="13">
        <v>1.4223657473200001E-2</v>
      </c>
      <c r="I31" s="12" t="s">
        <v>13</v>
      </c>
      <c r="J31" s="8" t="s">
        <v>13</v>
      </c>
    </row>
    <row r="32" spans="2:10" ht="15" customHeight="1" x14ac:dyDescent="0.2">
      <c r="B32" s="9" t="s">
        <v>77</v>
      </c>
      <c r="C32" s="10" t="s">
        <v>78</v>
      </c>
      <c r="D32" s="10" t="s">
        <v>13</v>
      </c>
      <c r="E32" s="10" t="s">
        <v>79</v>
      </c>
      <c r="F32" s="11">
        <v>4946864</v>
      </c>
      <c r="G32" s="12">
        <v>11997.63</v>
      </c>
      <c r="H32" s="13">
        <v>1.40769815494E-2</v>
      </c>
      <c r="I32" s="12" t="s">
        <v>13</v>
      </c>
      <c r="J32" s="8" t="s">
        <v>13</v>
      </c>
    </row>
    <row r="33" spans="2:10" ht="15" customHeight="1" x14ac:dyDescent="0.2">
      <c r="B33" s="9" t="s">
        <v>80</v>
      </c>
      <c r="C33" s="10" t="s">
        <v>81</v>
      </c>
      <c r="D33" s="10" t="s">
        <v>13</v>
      </c>
      <c r="E33" s="10" t="s">
        <v>82</v>
      </c>
      <c r="F33" s="11">
        <v>1531844</v>
      </c>
      <c r="G33" s="12">
        <v>11786.01</v>
      </c>
      <c r="H33" s="13">
        <v>1.3828684941200001E-2</v>
      </c>
      <c r="I33" s="12" t="s">
        <v>13</v>
      </c>
      <c r="J33" s="8" t="s">
        <v>13</v>
      </c>
    </row>
    <row r="34" spans="2:10" ht="15" customHeight="1" x14ac:dyDescent="0.2">
      <c r="B34" s="9" t="s">
        <v>83</v>
      </c>
      <c r="C34" s="10" t="s">
        <v>84</v>
      </c>
      <c r="D34" s="10" t="s">
        <v>13</v>
      </c>
      <c r="E34" s="10" t="s">
        <v>85</v>
      </c>
      <c r="F34" s="11">
        <v>689400</v>
      </c>
      <c r="G34" s="12">
        <v>11695.67</v>
      </c>
      <c r="H34" s="13">
        <v>1.3722687797299999E-2</v>
      </c>
      <c r="I34" s="12" t="s">
        <v>13</v>
      </c>
      <c r="J34" s="8" t="s">
        <v>13</v>
      </c>
    </row>
    <row r="35" spans="2:10" ht="15" customHeight="1" x14ac:dyDescent="0.2">
      <c r="B35" s="9" t="s">
        <v>86</v>
      </c>
      <c r="C35" s="10" t="s">
        <v>87</v>
      </c>
      <c r="D35" s="10" t="s">
        <v>13</v>
      </c>
      <c r="E35" s="10" t="s">
        <v>42</v>
      </c>
      <c r="F35" s="11">
        <v>1344489</v>
      </c>
      <c r="G35" s="12">
        <v>11507.48</v>
      </c>
      <c r="H35" s="13">
        <v>1.3501881925000001E-2</v>
      </c>
      <c r="I35" s="12" t="s">
        <v>13</v>
      </c>
      <c r="J35" s="8" t="s">
        <v>13</v>
      </c>
    </row>
    <row r="36" spans="2:10" ht="15" customHeight="1" x14ac:dyDescent="0.2">
      <c r="B36" s="9" t="s">
        <v>88</v>
      </c>
      <c r="C36" s="10" t="s">
        <v>89</v>
      </c>
      <c r="D36" s="10" t="s">
        <v>13</v>
      </c>
      <c r="E36" s="10" t="s">
        <v>35</v>
      </c>
      <c r="F36" s="11">
        <v>1079362</v>
      </c>
      <c r="G36" s="12">
        <v>10928</v>
      </c>
      <c r="H36" s="13">
        <v>1.28219702034E-2</v>
      </c>
      <c r="I36" s="12" t="s">
        <v>13</v>
      </c>
      <c r="J36" s="8" t="s">
        <v>13</v>
      </c>
    </row>
    <row r="37" spans="2:10" ht="15" customHeight="1" x14ac:dyDescent="0.2">
      <c r="B37" s="9" t="s">
        <v>90</v>
      </c>
      <c r="C37" s="10" t="s">
        <v>91</v>
      </c>
      <c r="D37" s="10" t="s">
        <v>13</v>
      </c>
      <c r="E37" s="10" t="s">
        <v>63</v>
      </c>
      <c r="F37" s="11">
        <v>521837</v>
      </c>
      <c r="G37" s="12">
        <v>10588.59</v>
      </c>
      <c r="H37" s="13">
        <v>1.24237358598E-2</v>
      </c>
      <c r="I37" s="12" t="s">
        <v>13</v>
      </c>
      <c r="J37" s="8" t="s">
        <v>13</v>
      </c>
    </row>
    <row r="38" spans="2:10" ht="15" customHeight="1" x14ac:dyDescent="0.2">
      <c r="B38" s="9" t="s">
        <v>92</v>
      </c>
      <c r="C38" s="10" t="s">
        <v>93</v>
      </c>
      <c r="D38" s="10" t="s">
        <v>13</v>
      </c>
      <c r="E38" s="10" t="s">
        <v>79</v>
      </c>
      <c r="F38" s="11">
        <v>2273851</v>
      </c>
      <c r="G38" s="12">
        <v>10427.879999999999</v>
      </c>
      <c r="H38" s="13">
        <v>1.2235172643199999E-2</v>
      </c>
      <c r="I38" s="12" t="s">
        <v>13</v>
      </c>
      <c r="J38" s="8" t="s">
        <v>13</v>
      </c>
    </row>
    <row r="39" spans="2:10" ht="15" customHeight="1" x14ac:dyDescent="0.2">
      <c r="B39" s="9" t="s">
        <v>94</v>
      </c>
      <c r="C39" s="10" t="s">
        <v>95</v>
      </c>
      <c r="D39" s="10" t="s">
        <v>13</v>
      </c>
      <c r="E39" s="10" t="s">
        <v>32</v>
      </c>
      <c r="F39" s="11">
        <v>2959203</v>
      </c>
      <c r="G39" s="12">
        <v>10198.89</v>
      </c>
      <c r="H39" s="13">
        <v>1.1966495579099999E-2</v>
      </c>
      <c r="I39" s="12" t="s">
        <v>13</v>
      </c>
      <c r="J39" s="8" t="s">
        <v>13</v>
      </c>
    </row>
    <row r="40" spans="2:10" ht="15" customHeight="1" x14ac:dyDescent="0.2">
      <c r="B40" s="9" t="s">
        <v>96</v>
      </c>
      <c r="C40" s="10" t="s">
        <v>97</v>
      </c>
      <c r="D40" s="10" t="s">
        <v>13</v>
      </c>
      <c r="E40" s="10" t="s">
        <v>66</v>
      </c>
      <c r="F40" s="11">
        <v>1689990</v>
      </c>
      <c r="G40" s="12">
        <v>10168.67</v>
      </c>
      <c r="H40" s="13">
        <v>1.1931038044299999E-2</v>
      </c>
      <c r="I40" s="12" t="s">
        <v>13</v>
      </c>
      <c r="J40" s="8" t="s">
        <v>13</v>
      </c>
    </row>
    <row r="41" spans="2:10" ht="15" customHeight="1" x14ac:dyDescent="0.2">
      <c r="B41" s="9" t="s">
        <v>98</v>
      </c>
      <c r="C41" s="10" t="s">
        <v>99</v>
      </c>
      <c r="D41" s="10" t="s">
        <v>13</v>
      </c>
      <c r="E41" s="10" t="s">
        <v>42</v>
      </c>
      <c r="F41" s="11">
        <v>508578</v>
      </c>
      <c r="G41" s="12">
        <v>9703.67</v>
      </c>
      <c r="H41" s="13">
        <v>1.13854472551E-2</v>
      </c>
      <c r="I41" s="12" t="s">
        <v>13</v>
      </c>
      <c r="J41" s="8" t="s">
        <v>13</v>
      </c>
    </row>
    <row r="42" spans="2:10" ht="15" customHeight="1" x14ac:dyDescent="0.2">
      <c r="B42" s="9" t="s">
        <v>100</v>
      </c>
      <c r="C42" s="10" t="s">
        <v>101</v>
      </c>
      <c r="D42" s="10" t="s">
        <v>13</v>
      </c>
      <c r="E42" s="10" t="s">
        <v>42</v>
      </c>
      <c r="F42" s="11">
        <v>167372</v>
      </c>
      <c r="G42" s="12">
        <v>9237.26</v>
      </c>
      <c r="H42" s="13">
        <v>1.0838202093800001E-2</v>
      </c>
      <c r="I42" s="12" t="s">
        <v>13</v>
      </c>
      <c r="J42" s="8" t="s">
        <v>13</v>
      </c>
    </row>
    <row r="43" spans="2:10" ht="15" customHeight="1" x14ac:dyDescent="0.2">
      <c r="B43" s="9" t="s">
        <v>102</v>
      </c>
      <c r="C43" s="10" t="s">
        <v>103</v>
      </c>
      <c r="D43" s="10" t="s">
        <v>13</v>
      </c>
      <c r="E43" s="10" t="s">
        <v>66</v>
      </c>
      <c r="F43" s="11">
        <v>271756</v>
      </c>
      <c r="G43" s="12">
        <v>8779.89</v>
      </c>
      <c r="H43" s="13">
        <v>1.03015636868E-2</v>
      </c>
      <c r="I43" s="12" t="s">
        <v>13</v>
      </c>
      <c r="J43" s="8" t="s">
        <v>13</v>
      </c>
    </row>
    <row r="44" spans="2:10" ht="15" customHeight="1" x14ac:dyDescent="0.2">
      <c r="B44" s="9" t="s">
        <v>104</v>
      </c>
      <c r="C44" s="10" t="s">
        <v>105</v>
      </c>
      <c r="D44" s="10" t="s">
        <v>13</v>
      </c>
      <c r="E44" s="10" t="s">
        <v>63</v>
      </c>
      <c r="F44" s="11">
        <v>7148522</v>
      </c>
      <c r="G44" s="12">
        <v>8732.6299999999992</v>
      </c>
      <c r="H44" s="13">
        <v>1.0246112889599999E-2</v>
      </c>
      <c r="I44" s="12" t="s">
        <v>13</v>
      </c>
      <c r="J44" s="8" t="s">
        <v>13</v>
      </c>
    </row>
    <row r="45" spans="2:10" ht="15" customHeight="1" x14ac:dyDescent="0.2">
      <c r="B45" s="9" t="s">
        <v>106</v>
      </c>
      <c r="C45" s="10" t="s">
        <v>107</v>
      </c>
      <c r="D45" s="10" t="s">
        <v>13</v>
      </c>
      <c r="E45" s="10" t="s">
        <v>32</v>
      </c>
      <c r="F45" s="11">
        <v>1943174</v>
      </c>
      <c r="G45" s="12">
        <v>8398.4</v>
      </c>
      <c r="H45" s="13">
        <v>9.8539563101E-3</v>
      </c>
      <c r="I45" s="12" t="s">
        <v>13</v>
      </c>
      <c r="J45" s="8" t="s">
        <v>13</v>
      </c>
    </row>
    <row r="46" spans="2:10" ht="15" customHeight="1" x14ac:dyDescent="0.2">
      <c r="B46" s="9" t="s">
        <v>108</v>
      </c>
      <c r="C46" s="10" t="s">
        <v>109</v>
      </c>
      <c r="D46" s="10" t="s">
        <v>13</v>
      </c>
      <c r="E46" s="10" t="s">
        <v>20</v>
      </c>
      <c r="F46" s="11">
        <v>39771384</v>
      </c>
      <c r="G46" s="12">
        <v>7954.28</v>
      </c>
      <c r="H46" s="13">
        <v>9.3328643071999996E-3</v>
      </c>
      <c r="I46" s="12" t="s">
        <v>13</v>
      </c>
      <c r="J46" s="8" t="s">
        <v>13</v>
      </c>
    </row>
    <row r="47" spans="2:10" ht="15" customHeight="1" x14ac:dyDescent="0.2">
      <c r="B47" s="9" t="s">
        <v>110</v>
      </c>
      <c r="C47" s="10" t="s">
        <v>111</v>
      </c>
      <c r="D47" s="10" t="s">
        <v>13</v>
      </c>
      <c r="E47" s="10" t="s">
        <v>29</v>
      </c>
      <c r="F47" s="11">
        <v>10000000</v>
      </c>
      <c r="G47" s="12">
        <v>7873</v>
      </c>
      <c r="H47" s="13">
        <v>9.2374973838999994E-3</v>
      </c>
      <c r="I47" s="12" t="s">
        <v>13</v>
      </c>
      <c r="J47" s="8" t="s">
        <v>13</v>
      </c>
    </row>
    <row r="48" spans="2:10" ht="15" customHeight="1" x14ac:dyDescent="0.2">
      <c r="B48" s="9" t="s">
        <v>112</v>
      </c>
      <c r="C48" s="10" t="s">
        <v>113</v>
      </c>
      <c r="D48" s="10" t="s">
        <v>13</v>
      </c>
      <c r="E48" s="10" t="s">
        <v>82</v>
      </c>
      <c r="F48" s="11">
        <v>1622376</v>
      </c>
      <c r="G48" s="12">
        <v>6629.03</v>
      </c>
      <c r="H48" s="13">
        <v>7.7779305580000001E-3</v>
      </c>
      <c r="I48" s="12" t="s">
        <v>13</v>
      </c>
      <c r="J48" s="8" t="s">
        <v>13</v>
      </c>
    </row>
    <row r="49" spans="2:10" ht="15" customHeight="1" x14ac:dyDescent="0.2">
      <c r="B49" s="9" t="s">
        <v>114</v>
      </c>
      <c r="C49" s="10" t="s">
        <v>115</v>
      </c>
      <c r="D49" s="10" t="s">
        <v>13</v>
      </c>
      <c r="E49" s="10" t="s">
        <v>76</v>
      </c>
      <c r="F49" s="11">
        <v>1435641</v>
      </c>
      <c r="G49" s="12">
        <v>6520.68</v>
      </c>
      <c r="H49" s="13">
        <v>7.6508020374999996E-3</v>
      </c>
      <c r="I49" s="12" t="s">
        <v>13</v>
      </c>
      <c r="J49" s="8" t="s">
        <v>13</v>
      </c>
    </row>
    <row r="50" spans="2:10" ht="15" customHeight="1" x14ac:dyDescent="0.2">
      <c r="B50" s="9" t="s">
        <v>116</v>
      </c>
      <c r="C50" s="10" t="s">
        <v>117</v>
      </c>
      <c r="D50" s="10" t="s">
        <v>13</v>
      </c>
      <c r="E50" s="10" t="s">
        <v>32</v>
      </c>
      <c r="F50" s="11">
        <v>419776</v>
      </c>
      <c r="G50" s="12">
        <v>5698.04</v>
      </c>
      <c r="H50" s="13">
        <v>6.6855873991000002E-3</v>
      </c>
      <c r="I50" s="12" t="s">
        <v>13</v>
      </c>
      <c r="J50" s="8" t="s">
        <v>13</v>
      </c>
    </row>
    <row r="51" spans="2:10" ht="15" customHeight="1" x14ac:dyDescent="0.2">
      <c r="B51" s="9" t="s">
        <v>118</v>
      </c>
      <c r="C51" s="10" t="s">
        <v>119</v>
      </c>
      <c r="D51" s="10" t="s">
        <v>13</v>
      </c>
      <c r="E51" s="10" t="s">
        <v>66</v>
      </c>
      <c r="F51" s="11">
        <v>56110</v>
      </c>
      <c r="G51" s="12">
        <v>5567.8</v>
      </c>
      <c r="H51" s="13">
        <v>6.5327750455999997E-3</v>
      </c>
      <c r="I51" s="12" t="s">
        <v>13</v>
      </c>
      <c r="J51" s="8" t="s">
        <v>13</v>
      </c>
    </row>
    <row r="52" spans="2:10" ht="15" customHeight="1" x14ac:dyDescent="0.2">
      <c r="B52" s="9" t="s">
        <v>120</v>
      </c>
      <c r="C52" s="10" t="s">
        <v>121</v>
      </c>
      <c r="D52" s="10" t="s">
        <v>13</v>
      </c>
      <c r="E52" s="10" t="s">
        <v>71</v>
      </c>
      <c r="F52" s="11">
        <v>13264</v>
      </c>
      <c r="G52" s="12">
        <v>5060.88</v>
      </c>
      <c r="H52" s="13">
        <v>5.9379989534000003E-3</v>
      </c>
      <c r="I52" s="12" t="s">
        <v>13</v>
      </c>
      <c r="J52" s="8" t="s">
        <v>13</v>
      </c>
    </row>
    <row r="53" spans="2:10" ht="15" customHeight="1" x14ac:dyDescent="0.2">
      <c r="B53" s="9" t="s">
        <v>122</v>
      </c>
      <c r="C53" s="10" t="s">
        <v>123</v>
      </c>
      <c r="D53" s="10" t="s">
        <v>13</v>
      </c>
      <c r="E53" s="10" t="s">
        <v>124</v>
      </c>
      <c r="F53" s="11">
        <v>1157231</v>
      </c>
      <c r="G53" s="12">
        <v>4792.67</v>
      </c>
      <c r="H53" s="13">
        <v>5.6233045328000003E-3</v>
      </c>
      <c r="I53" s="12" t="s">
        <v>13</v>
      </c>
      <c r="J53" s="8" t="s">
        <v>13</v>
      </c>
    </row>
    <row r="54" spans="2:10" ht="15" customHeight="1" x14ac:dyDescent="0.2">
      <c r="B54" s="9" t="s">
        <v>125</v>
      </c>
      <c r="C54" s="10" t="s">
        <v>126</v>
      </c>
      <c r="D54" s="10" t="s">
        <v>13</v>
      </c>
      <c r="E54" s="10" t="s">
        <v>20</v>
      </c>
      <c r="F54" s="11">
        <v>486120</v>
      </c>
      <c r="G54" s="12">
        <v>4754.25</v>
      </c>
      <c r="H54" s="13">
        <v>5.5782258272000004E-3</v>
      </c>
      <c r="I54" s="12" t="s">
        <v>13</v>
      </c>
      <c r="J54" s="8" t="s">
        <v>13</v>
      </c>
    </row>
    <row r="55" spans="2:10" ht="15" customHeight="1" x14ac:dyDescent="0.2">
      <c r="B55" s="9" t="s">
        <v>127</v>
      </c>
      <c r="C55" s="10" t="s">
        <v>128</v>
      </c>
      <c r="D55" s="10" t="s">
        <v>13</v>
      </c>
      <c r="E55" s="10" t="s">
        <v>45</v>
      </c>
      <c r="F55" s="11">
        <v>2802661</v>
      </c>
      <c r="G55" s="12">
        <v>4203.99</v>
      </c>
      <c r="H55" s="13">
        <v>4.9325983268000001E-3</v>
      </c>
      <c r="I55" s="12" t="s">
        <v>13</v>
      </c>
      <c r="J55" s="8" t="s">
        <v>13</v>
      </c>
    </row>
    <row r="56" spans="2:10" ht="15" customHeight="1" x14ac:dyDescent="0.2">
      <c r="B56" s="9" t="s">
        <v>129</v>
      </c>
      <c r="C56" s="10" t="s">
        <v>130</v>
      </c>
      <c r="D56" s="10" t="s">
        <v>13</v>
      </c>
      <c r="E56" s="10" t="s">
        <v>29</v>
      </c>
      <c r="F56" s="11">
        <v>1777776</v>
      </c>
      <c r="G56" s="12">
        <v>4000</v>
      </c>
      <c r="H56" s="13">
        <v>4.6932541008000003E-3</v>
      </c>
      <c r="I56" s="12" t="s">
        <v>13</v>
      </c>
      <c r="J56" s="8" t="s">
        <v>13</v>
      </c>
    </row>
    <row r="57" spans="2:10" ht="15" customHeight="1" x14ac:dyDescent="0.2">
      <c r="B57" s="9" t="s">
        <v>131</v>
      </c>
      <c r="C57" s="10" t="s">
        <v>132</v>
      </c>
      <c r="D57" s="10" t="s">
        <v>13</v>
      </c>
      <c r="E57" s="10" t="s">
        <v>133</v>
      </c>
      <c r="F57" s="11">
        <v>535355</v>
      </c>
      <c r="G57" s="12">
        <v>3980.36</v>
      </c>
      <c r="H57" s="13">
        <v>4.6702102230999996E-3</v>
      </c>
      <c r="I57" s="12" t="s">
        <v>13</v>
      </c>
      <c r="J57" s="8" t="s">
        <v>13</v>
      </c>
    </row>
    <row r="58" spans="2:10" ht="15" customHeight="1" x14ac:dyDescent="0.2">
      <c r="B58" s="9" t="s">
        <v>134</v>
      </c>
      <c r="C58" s="10" t="s">
        <v>135</v>
      </c>
      <c r="D58" s="10" t="s">
        <v>13</v>
      </c>
      <c r="E58" s="10" t="s">
        <v>42</v>
      </c>
      <c r="F58" s="11">
        <v>141757</v>
      </c>
      <c r="G58" s="12">
        <v>3884</v>
      </c>
      <c r="H58" s="13">
        <v>4.5571497318999997E-3</v>
      </c>
      <c r="I58" s="12" t="s">
        <v>13</v>
      </c>
      <c r="J58" s="8" t="s">
        <v>13</v>
      </c>
    </row>
    <row r="59" spans="2:10" ht="15" customHeight="1" x14ac:dyDescent="0.2">
      <c r="B59" s="9" t="s">
        <v>136</v>
      </c>
      <c r="C59" s="10" t="s">
        <v>137</v>
      </c>
      <c r="D59" s="10" t="s">
        <v>13</v>
      </c>
      <c r="E59" s="10" t="s">
        <v>42</v>
      </c>
      <c r="F59" s="11">
        <v>990019</v>
      </c>
      <c r="G59" s="12">
        <v>3846.72</v>
      </c>
      <c r="H59" s="13">
        <v>4.5134086035999998E-3</v>
      </c>
      <c r="I59" s="12" t="s">
        <v>13</v>
      </c>
      <c r="J59" s="8" t="s">
        <v>13</v>
      </c>
    </row>
    <row r="60" spans="2:10" ht="15" customHeight="1" x14ac:dyDescent="0.2">
      <c r="B60" s="9" t="s">
        <v>138</v>
      </c>
      <c r="C60" s="10" t="s">
        <v>139</v>
      </c>
      <c r="D60" s="10" t="s">
        <v>13</v>
      </c>
      <c r="E60" s="10" t="s">
        <v>140</v>
      </c>
      <c r="F60" s="11">
        <v>940789</v>
      </c>
      <c r="G60" s="12">
        <v>2958.78</v>
      </c>
      <c r="H60" s="13">
        <v>3.4715765921000002E-3</v>
      </c>
      <c r="I60" s="12" t="s">
        <v>13</v>
      </c>
      <c r="J60" s="8" t="s">
        <v>13</v>
      </c>
    </row>
    <row r="61" spans="2:10" ht="15" customHeight="1" x14ac:dyDescent="0.2">
      <c r="B61" s="9" t="s">
        <v>141</v>
      </c>
      <c r="C61" s="10" t="s">
        <v>142</v>
      </c>
      <c r="D61" s="10" t="s">
        <v>13</v>
      </c>
      <c r="E61" s="10" t="s">
        <v>42</v>
      </c>
      <c r="F61" s="11">
        <v>266861</v>
      </c>
      <c r="G61" s="12">
        <v>2838.87</v>
      </c>
      <c r="H61" s="13">
        <v>3.3308845673E-3</v>
      </c>
      <c r="I61" s="12" t="s">
        <v>13</v>
      </c>
      <c r="J61" s="8" t="s">
        <v>13</v>
      </c>
    </row>
    <row r="62" spans="2:10" ht="15" customHeight="1" x14ac:dyDescent="0.2">
      <c r="B62" s="9" t="s">
        <v>143</v>
      </c>
      <c r="C62" s="10" t="s">
        <v>144</v>
      </c>
      <c r="D62" s="10" t="s">
        <v>13</v>
      </c>
      <c r="E62" s="10" t="s">
        <v>20</v>
      </c>
      <c r="F62" s="11">
        <v>563668</v>
      </c>
      <c r="G62" s="12">
        <v>2643.32</v>
      </c>
      <c r="H62" s="13">
        <v>3.1014431074000001E-3</v>
      </c>
      <c r="I62" s="12" t="s">
        <v>13</v>
      </c>
      <c r="J62" s="8" t="s">
        <v>13</v>
      </c>
    </row>
    <row r="63" spans="2:10" ht="15" customHeight="1" x14ac:dyDescent="0.2">
      <c r="B63" s="9" t="s">
        <v>145</v>
      </c>
      <c r="C63" s="10" t="s">
        <v>146</v>
      </c>
      <c r="D63" s="10" t="s">
        <v>13</v>
      </c>
      <c r="E63" s="10" t="s">
        <v>85</v>
      </c>
      <c r="F63" s="11">
        <v>828893</v>
      </c>
      <c r="G63" s="12">
        <v>2589.46</v>
      </c>
      <c r="H63" s="13">
        <v>3.0382484409E-3</v>
      </c>
      <c r="I63" s="12" t="s">
        <v>13</v>
      </c>
      <c r="J63" s="8" t="s">
        <v>13</v>
      </c>
    </row>
    <row r="64" spans="2:10" ht="15" customHeight="1" x14ac:dyDescent="0.2">
      <c r="B64" s="9" t="s">
        <v>147</v>
      </c>
      <c r="C64" s="10" t="s">
        <v>148</v>
      </c>
      <c r="D64" s="10" t="s">
        <v>13</v>
      </c>
      <c r="E64" s="10" t="s">
        <v>149</v>
      </c>
      <c r="F64" s="11">
        <v>935641</v>
      </c>
      <c r="G64" s="12">
        <v>2472.4299999999998</v>
      </c>
      <c r="H64" s="13">
        <v>2.9009355591000001E-3</v>
      </c>
      <c r="I64" s="12" t="s">
        <v>13</v>
      </c>
      <c r="J64" s="8" t="s">
        <v>13</v>
      </c>
    </row>
    <row r="65" spans="2:10" ht="15" customHeight="1" x14ac:dyDescent="0.2">
      <c r="B65" s="9" t="s">
        <v>150</v>
      </c>
      <c r="C65" s="10" t="s">
        <v>151</v>
      </c>
      <c r="D65" s="10" t="s">
        <v>13</v>
      </c>
      <c r="E65" s="10" t="s">
        <v>42</v>
      </c>
      <c r="F65" s="11">
        <v>490230</v>
      </c>
      <c r="G65" s="12">
        <v>2175.4</v>
      </c>
      <c r="H65" s="13">
        <v>2.5524262426999999E-3</v>
      </c>
      <c r="I65" s="12" t="s">
        <v>13</v>
      </c>
      <c r="J65" s="8" t="s">
        <v>13</v>
      </c>
    </row>
    <row r="66" spans="2:10" ht="15" customHeight="1" x14ac:dyDescent="0.2">
      <c r="B66" s="9" t="s">
        <v>152</v>
      </c>
      <c r="C66" s="10" t="s">
        <v>153</v>
      </c>
      <c r="D66" s="10" t="s">
        <v>13</v>
      </c>
      <c r="E66" s="10" t="s">
        <v>32</v>
      </c>
      <c r="F66" s="11">
        <v>17365</v>
      </c>
      <c r="G66" s="12">
        <v>2066.96</v>
      </c>
      <c r="H66" s="13">
        <v>2.425192124E-3</v>
      </c>
      <c r="I66" s="12" t="s">
        <v>13</v>
      </c>
      <c r="J66" s="8" t="s">
        <v>13</v>
      </c>
    </row>
    <row r="67" spans="2:10" ht="15" customHeight="1" x14ac:dyDescent="0.2">
      <c r="B67" s="9" t="s">
        <v>154</v>
      </c>
      <c r="C67" s="10" t="s">
        <v>155</v>
      </c>
      <c r="D67" s="10" t="s">
        <v>13</v>
      </c>
      <c r="E67" s="10" t="s">
        <v>32</v>
      </c>
      <c r="F67" s="11">
        <v>1286961</v>
      </c>
      <c r="G67" s="12">
        <v>1965.06</v>
      </c>
      <c r="H67" s="13">
        <v>2.3056314757999999E-3</v>
      </c>
      <c r="I67" s="12" t="s">
        <v>13</v>
      </c>
      <c r="J67" s="8" t="s">
        <v>13</v>
      </c>
    </row>
    <row r="68" spans="2:10" ht="15" customHeight="1" x14ac:dyDescent="0.2">
      <c r="B68" s="9" t="s">
        <v>156</v>
      </c>
      <c r="C68" s="10" t="s">
        <v>157</v>
      </c>
      <c r="D68" s="10" t="s">
        <v>13</v>
      </c>
      <c r="E68" s="10" t="s">
        <v>17</v>
      </c>
      <c r="F68" s="11">
        <v>3327884</v>
      </c>
      <c r="G68" s="12">
        <v>1929.17</v>
      </c>
      <c r="H68" s="13">
        <v>2.2635212533999999E-3</v>
      </c>
      <c r="I68" s="12" t="s">
        <v>13</v>
      </c>
      <c r="J68" s="8" t="s">
        <v>13</v>
      </c>
    </row>
    <row r="69" spans="2:10" ht="15" customHeight="1" x14ac:dyDescent="0.2">
      <c r="B69" s="9" t="s">
        <v>158</v>
      </c>
      <c r="C69" s="10" t="s">
        <v>159</v>
      </c>
      <c r="D69" s="10" t="s">
        <v>13</v>
      </c>
      <c r="E69" s="10" t="s">
        <v>160</v>
      </c>
      <c r="F69" s="11">
        <v>990391</v>
      </c>
      <c r="G69" s="12">
        <v>1923.14</v>
      </c>
      <c r="H69" s="13">
        <v>2.2564461728000001E-3</v>
      </c>
      <c r="I69" s="12" t="s">
        <v>13</v>
      </c>
      <c r="J69" s="8" t="s">
        <v>13</v>
      </c>
    </row>
    <row r="70" spans="2:10" ht="15" customHeight="1" x14ac:dyDescent="0.2">
      <c r="B70" s="9" t="s">
        <v>161</v>
      </c>
      <c r="C70" s="10" t="s">
        <v>162</v>
      </c>
      <c r="D70" s="10" t="s">
        <v>13</v>
      </c>
      <c r="E70" s="10" t="s">
        <v>32</v>
      </c>
      <c r="F70" s="11">
        <v>432619</v>
      </c>
      <c r="G70" s="12">
        <v>752.58</v>
      </c>
      <c r="H70" s="13">
        <v>8.8301229280000003E-4</v>
      </c>
      <c r="I70" s="12" t="s">
        <v>13</v>
      </c>
      <c r="J70" s="8" t="s">
        <v>13</v>
      </c>
    </row>
    <row r="71" spans="2:10" ht="15" customHeight="1" x14ac:dyDescent="0.2">
      <c r="B71" s="9" t="s">
        <v>163</v>
      </c>
      <c r="C71" s="10" t="s">
        <v>164</v>
      </c>
      <c r="D71" s="10" t="s">
        <v>13</v>
      </c>
      <c r="E71" s="10" t="s">
        <v>165</v>
      </c>
      <c r="F71" s="11">
        <v>101979</v>
      </c>
      <c r="G71" s="12">
        <v>550.69000000000005</v>
      </c>
      <c r="H71" s="13">
        <v>6.4613202509999999E-4</v>
      </c>
      <c r="I71" s="12" t="s">
        <v>13</v>
      </c>
      <c r="J71" s="8" t="s">
        <v>13</v>
      </c>
    </row>
    <row r="72" spans="2:10" ht="15" customHeight="1" x14ac:dyDescent="0.2">
      <c r="B72" s="9" t="s">
        <v>166</v>
      </c>
      <c r="C72" s="10" t="s">
        <v>167</v>
      </c>
      <c r="D72" s="10" t="s">
        <v>13</v>
      </c>
      <c r="E72" s="10" t="s">
        <v>42</v>
      </c>
      <c r="F72" s="11">
        <v>15000</v>
      </c>
      <c r="G72" s="12">
        <v>519.80999999999995</v>
      </c>
      <c r="H72" s="13">
        <v>6.0990010350000005E-4</v>
      </c>
      <c r="I72" s="12" t="s">
        <v>13</v>
      </c>
      <c r="J72" s="8" t="s">
        <v>13</v>
      </c>
    </row>
    <row r="73" spans="2:10" ht="15" customHeight="1" x14ac:dyDescent="0.2">
      <c r="B73" s="9" t="s">
        <v>168</v>
      </c>
      <c r="C73" s="10" t="s">
        <v>169</v>
      </c>
      <c r="D73" s="10" t="s">
        <v>13</v>
      </c>
      <c r="E73" s="10" t="s">
        <v>79</v>
      </c>
      <c r="F73" s="11">
        <v>1435641</v>
      </c>
      <c r="G73" s="12">
        <v>510.23</v>
      </c>
      <c r="H73" s="13">
        <v>5.986597599E-4</v>
      </c>
      <c r="I73" s="12" t="s">
        <v>13</v>
      </c>
      <c r="J73" s="8" t="s">
        <v>13</v>
      </c>
    </row>
    <row r="74" spans="2:10" ht="15" customHeight="1" x14ac:dyDescent="0.2">
      <c r="B74" s="9" t="s">
        <v>170</v>
      </c>
      <c r="C74" s="10" t="s">
        <v>171</v>
      </c>
      <c r="D74" s="10" t="s">
        <v>13</v>
      </c>
      <c r="E74" s="10" t="s">
        <v>29</v>
      </c>
      <c r="F74" s="11">
        <v>1435641</v>
      </c>
      <c r="G74" s="12">
        <v>495.58</v>
      </c>
      <c r="H74" s="13">
        <v>5.8147071680000005E-4</v>
      </c>
      <c r="I74" s="12" t="s">
        <v>13</v>
      </c>
      <c r="J74" s="8" t="s">
        <v>13</v>
      </c>
    </row>
    <row r="75" spans="2:10" ht="15" customHeight="1" x14ac:dyDescent="0.2">
      <c r="B75" s="9" t="s">
        <v>172</v>
      </c>
      <c r="C75" s="10" t="s">
        <v>173</v>
      </c>
      <c r="D75" s="10" t="s">
        <v>13</v>
      </c>
      <c r="E75" s="10" t="s">
        <v>20</v>
      </c>
      <c r="F75" s="11">
        <v>21644</v>
      </c>
      <c r="G75" s="12">
        <v>212.18</v>
      </c>
      <c r="H75" s="13">
        <v>2.4895366370000001E-4</v>
      </c>
      <c r="I75" s="12" t="s">
        <v>13</v>
      </c>
      <c r="J75" s="8" t="s">
        <v>13</v>
      </c>
    </row>
    <row r="76" spans="2:10" ht="15" customHeight="1" x14ac:dyDescent="0.2">
      <c r="B76" s="9" t="s">
        <v>174</v>
      </c>
      <c r="C76" s="10" t="s">
        <v>175</v>
      </c>
      <c r="D76" s="10" t="s">
        <v>13</v>
      </c>
      <c r="E76" s="10" t="s">
        <v>50</v>
      </c>
      <c r="F76" s="11">
        <v>435641</v>
      </c>
      <c r="G76" s="12">
        <v>140.62</v>
      </c>
      <c r="H76" s="13">
        <v>1.6499134790000001E-4</v>
      </c>
      <c r="I76" s="12" t="s">
        <v>13</v>
      </c>
      <c r="J76" s="8" t="s">
        <v>13</v>
      </c>
    </row>
    <row r="77" spans="2:10" ht="15" customHeight="1" x14ac:dyDescent="0.2">
      <c r="B77" s="9" t="s">
        <v>176</v>
      </c>
      <c r="C77" s="10" t="s">
        <v>177</v>
      </c>
      <c r="D77" s="10" t="s">
        <v>13</v>
      </c>
      <c r="E77" s="10" t="s">
        <v>29</v>
      </c>
      <c r="F77" s="11">
        <v>25353</v>
      </c>
      <c r="G77" s="12">
        <v>72.069999999999993</v>
      </c>
      <c r="H77" s="13">
        <v>8.45607057E-5</v>
      </c>
      <c r="I77" s="12" t="s">
        <v>13</v>
      </c>
      <c r="J77" s="8" t="s">
        <v>13</v>
      </c>
    </row>
    <row r="78" spans="2:10" ht="15" customHeight="1" x14ac:dyDescent="0.2">
      <c r="B78" s="9" t="s">
        <v>13</v>
      </c>
      <c r="J78" s="8" t="s">
        <v>13</v>
      </c>
    </row>
    <row r="79" spans="2:10" ht="15" customHeight="1" x14ac:dyDescent="0.2">
      <c r="B79" s="4" t="s">
        <v>178</v>
      </c>
      <c r="C79" s="5" t="s">
        <v>13</v>
      </c>
      <c r="D79" s="6" t="s">
        <v>13</v>
      </c>
      <c r="E79" s="5" t="s">
        <v>13</v>
      </c>
      <c r="F79" s="6" t="s">
        <v>13</v>
      </c>
      <c r="G79" s="6">
        <v>5168.28</v>
      </c>
      <c r="H79" s="7">
        <v>6.0640128259999999E-3</v>
      </c>
      <c r="I79" s="6" t="s">
        <v>13</v>
      </c>
      <c r="J79" s="8" t="s">
        <v>13</v>
      </c>
    </row>
    <row r="80" spans="2:10" ht="15" customHeight="1" x14ac:dyDescent="0.2">
      <c r="B80" s="9" t="s">
        <v>179</v>
      </c>
      <c r="C80" s="10" t="s">
        <v>180</v>
      </c>
      <c r="D80" s="10" t="s">
        <v>13</v>
      </c>
      <c r="E80" s="10" t="s">
        <v>178</v>
      </c>
      <c r="F80" s="11">
        <v>1179999</v>
      </c>
      <c r="G80" s="12">
        <v>5168.28</v>
      </c>
      <c r="H80" s="13">
        <v>6.0640128259999999E-3</v>
      </c>
      <c r="I80" s="12" t="s">
        <v>13</v>
      </c>
      <c r="J80" s="8" t="s">
        <v>13</v>
      </c>
    </row>
    <row r="81" spans="2:10" ht="15" customHeight="1" x14ac:dyDescent="0.2">
      <c r="B81" s="9" t="s">
        <v>13</v>
      </c>
      <c r="J81" s="8" t="s">
        <v>13</v>
      </c>
    </row>
    <row r="82" spans="2:10" ht="15" customHeight="1" x14ac:dyDescent="0.2">
      <c r="B82" s="4" t="s">
        <v>181</v>
      </c>
      <c r="C82" s="5" t="s">
        <v>13</v>
      </c>
      <c r="D82" s="6" t="s">
        <v>13</v>
      </c>
      <c r="E82" s="5" t="s">
        <v>13</v>
      </c>
      <c r="F82" s="6" t="s">
        <v>13</v>
      </c>
      <c r="G82" s="6" t="s">
        <v>182</v>
      </c>
      <c r="H82" s="7" t="s">
        <v>182</v>
      </c>
      <c r="I82" s="6" t="s">
        <v>13</v>
      </c>
      <c r="J82" s="8" t="s">
        <v>13</v>
      </c>
    </row>
    <row r="83" spans="2:10" ht="15" customHeight="1" x14ac:dyDescent="0.2">
      <c r="B83" s="9" t="s">
        <v>13</v>
      </c>
      <c r="J83" s="8" t="s">
        <v>13</v>
      </c>
    </row>
    <row r="84" spans="2:10" ht="15" customHeight="1" x14ac:dyDescent="0.2">
      <c r="B84" s="4" t="s">
        <v>183</v>
      </c>
      <c r="C84" s="5" t="s">
        <v>13</v>
      </c>
      <c r="D84" s="6" t="s">
        <v>13</v>
      </c>
      <c r="E84" s="5" t="s">
        <v>13</v>
      </c>
      <c r="F84" s="6" t="s">
        <v>13</v>
      </c>
      <c r="G84" s="6" t="s">
        <v>182</v>
      </c>
      <c r="H84" s="7" t="s">
        <v>182</v>
      </c>
      <c r="I84" s="6" t="s">
        <v>13</v>
      </c>
      <c r="J84" s="8" t="s">
        <v>13</v>
      </c>
    </row>
    <row r="85" spans="2:10" ht="15" customHeight="1" x14ac:dyDescent="0.2">
      <c r="B85" s="9" t="s">
        <v>13</v>
      </c>
      <c r="J85" s="8" t="s">
        <v>13</v>
      </c>
    </row>
    <row r="86" spans="2:10" ht="15" customHeight="1" x14ac:dyDescent="0.2">
      <c r="B86" s="4" t="s">
        <v>14</v>
      </c>
      <c r="C86" s="5" t="s">
        <v>13</v>
      </c>
      <c r="D86" s="6" t="s">
        <v>13</v>
      </c>
      <c r="E86" s="5" t="s">
        <v>13</v>
      </c>
      <c r="F86" s="6" t="s">
        <v>13</v>
      </c>
      <c r="G86" s="6" t="s">
        <v>182</v>
      </c>
      <c r="H86" s="7" t="s">
        <v>182</v>
      </c>
      <c r="I86" s="6" t="s">
        <v>13</v>
      </c>
      <c r="J86" s="8" t="s">
        <v>13</v>
      </c>
    </row>
    <row r="87" spans="2:10" ht="15" customHeight="1" x14ac:dyDescent="0.2">
      <c r="B87" s="9" t="s">
        <v>13</v>
      </c>
      <c r="J87" s="8" t="s">
        <v>13</v>
      </c>
    </row>
    <row r="88" spans="2:10" ht="15" customHeight="1" x14ac:dyDescent="0.2">
      <c r="B88" s="4" t="s">
        <v>184</v>
      </c>
      <c r="C88" s="5" t="s">
        <v>13</v>
      </c>
      <c r="D88" s="6" t="s">
        <v>13</v>
      </c>
      <c r="E88" s="5" t="s">
        <v>13</v>
      </c>
      <c r="F88" s="6" t="s">
        <v>13</v>
      </c>
      <c r="G88" s="6" t="s">
        <v>182</v>
      </c>
      <c r="H88" s="7" t="s">
        <v>182</v>
      </c>
      <c r="I88" s="6" t="s">
        <v>13</v>
      </c>
      <c r="J88" s="8" t="s">
        <v>13</v>
      </c>
    </row>
    <row r="89" spans="2:10" ht="15" customHeight="1" x14ac:dyDescent="0.2">
      <c r="B89" s="9" t="s">
        <v>13</v>
      </c>
      <c r="J89" s="8" t="s">
        <v>13</v>
      </c>
    </row>
    <row r="90" spans="2:10" ht="15" customHeight="1" x14ac:dyDescent="0.2">
      <c r="B90" s="4" t="s">
        <v>185</v>
      </c>
      <c r="C90" s="5" t="s">
        <v>13</v>
      </c>
      <c r="D90" s="6" t="s">
        <v>13</v>
      </c>
      <c r="E90" s="5" t="s">
        <v>13</v>
      </c>
      <c r="F90" s="6" t="s">
        <v>13</v>
      </c>
      <c r="G90" s="6" t="s">
        <v>182</v>
      </c>
      <c r="H90" s="7" t="s">
        <v>182</v>
      </c>
      <c r="I90" s="6" t="s">
        <v>13</v>
      </c>
      <c r="J90" s="8" t="s">
        <v>13</v>
      </c>
    </row>
    <row r="91" spans="2:10" ht="15" customHeight="1" x14ac:dyDescent="0.2">
      <c r="B91" s="9" t="s">
        <v>13</v>
      </c>
      <c r="J91" s="8" t="s">
        <v>13</v>
      </c>
    </row>
    <row r="92" spans="2:10" ht="15" customHeight="1" x14ac:dyDescent="0.2">
      <c r="B92" s="4" t="s">
        <v>186</v>
      </c>
      <c r="C92" s="5" t="s">
        <v>13</v>
      </c>
      <c r="D92" s="6" t="s">
        <v>13</v>
      </c>
      <c r="E92" s="5" t="s">
        <v>13</v>
      </c>
      <c r="F92" s="6" t="s">
        <v>13</v>
      </c>
      <c r="G92" s="6" t="s">
        <v>182</v>
      </c>
      <c r="H92" s="7" t="s">
        <v>182</v>
      </c>
      <c r="I92" s="6" t="s">
        <v>13</v>
      </c>
      <c r="J92" s="8" t="s">
        <v>13</v>
      </c>
    </row>
    <row r="93" spans="2:10" ht="15" customHeight="1" x14ac:dyDescent="0.2">
      <c r="B93" s="9" t="s">
        <v>13</v>
      </c>
      <c r="J93" s="8" t="s">
        <v>13</v>
      </c>
    </row>
    <row r="94" spans="2:10" ht="15" customHeight="1" x14ac:dyDescent="0.2">
      <c r="B94" s="4" t="s">
        <v>187</v>
      </c>
      <c r="C94" s="5" t="s">
        <v>13</v>
      </c>
      <c r="D94" s="6" t="s">
        <v>13</v>
      </c>
      <c r="E94" s="5" t="s">
        <v>13</v>
      </c>
      <c r="F94" s="6" t="s">
        <v>13</v>
      </c>
      <c r="G94" s="6" t="s">
        <v>182</v>
      </c>
      <c r="H94" s="7" t="s">
        <v>182</v>
      </c>
      <c r="I94" s="6" t="s">
        <v>13</v>
      </c>
      <c r="J94" s="8" t="s">
        <v>13</v>
      </c>
    </row>
    <row r="95" spans="2:10" ht="15" customHeight="1" x14ac:dyDescent="0.2">
      <c r="B95" s="9" t="s">
        <v>13</v>
      </c>
      <c r="J95" s="8" t="s">
        <v>13</v>
      </c>
    </row>
    <row r="96" spans="2:10" ht="15" customHeight="1" x14ac:dyDescent="0.2">
      <c r="B96" s="4" t="s">
        <v>188</v>
      </c>
      <c r="C96" s="5" t="s">
        <v>13</v>
      </c>
      <c r="D96" s="6" t="s">
        <v>13</v>
      </c>
      <c r="E96" s="5" t="s">
        <v>13</v>
      </c>
      <c r="F96" s="6" t="s">
        <v>13</v>
      </c>
      <c r="G96" s="6">
        <v>5171.8999999999996</v>
      </c>
      <c r="H96" s="7">
        <v>6.0682602209000003E-3</v>
      </c>
      <c r="I96" s="6" t="s">
        <v>13</v>
      </c>
      <c r="J96" s="8" t="s">
        <v>13</v>
      </c>
    </row>
    <row r="97" spans="2:10" ht="15" customHeight="1" x14ac:dyDescent="0.2">
      <c r="B97" s="9" t="s">
        <v>13</v>
      </c>
      <c r="J97" s="8" t="s">
        <v>13</v>
      </c>
    </row>
    <row r="98" spans="2:10" ht="15" customHeight="1" x14ac:dyDescent="0.2">
      <c r="B98" s="4" t="s">
        <v>189</v>
      </c>
      <c r="C98" s="5" t="s">
        <v>13</v>
      </c>
      <c r="D98" s="6" t="s">
        <v>13</v>
      </c>
      <c r="E98" s="5" t="s">
        <v>13</v>
      </c>
      <c r="F98" s="6" t="s">
        <v>13</v>
      </c>
      <c r="G98" s="6" t="s">
        <v>182</v>
      </c>
      <c r="H98" s="7" t="s">
        <v>182</v>
      </c>
      <c r="I98" s="6" t="s">
        <v>13</v>
      </c>
      <c r="J98" s="8" t="s">
        <v>13</v>
      </c>
    </row>
    <row r="99" spans="2:10" ht="15" customHeight="1" x14ac:dyDescent="0.2">
      <c r="B99" s="9" t="s">
        <v>13</v>
      </c>
      <c r="J99" s="8" t="s">
        <v>13</v>
      </c>
    </row>
    <row r="100" spans="2:10" ht="15" customHeight="1" x14ac:dyDescent="0.2">
      <c r="B100" s="4" t="s">
        <v>190</v>
      </c>
      <c r="C100" s="5" t="s">
        <v>13</v>
      </c>
      <c r="D100" s="6" t="s">
        <v>13</v>
      </c>
      <c r="E100" s="5" t="s">
        <v>13</v>
      </c>
      <c r="F100" s="6" t="s">
        <v>13</v>
      </c>
      <c r="G100" s="6" t="s">
        <v>182</v>
      </c>
      <c r="H100" s="7" t="s">
        <v>182</v>
      </c>
      <c r="I100" s="6" t="s">
        <v>13</v>
      </c>
      <c r="J100" s="8" t="s">
        <v>13</v>
      </c>
    </row>
    <row r="101" spans="2:10" ht="15" customHeight="1" x14ac:dyDescent="0.2">
      <c r="B101" s="9" t="s">
        <v>13</v>
      </c>
      <c r="J101" s="8" t="s">
        <v>13</v>
      </c>
    </row>
    <row r="102" spans="2:10" ht="15" customHeight="1" x14ac:dyDescent="0.2">
      <c r="B102" s="4" t="s">
        <v>191</v>
      </c>
      <c r="C102" s="5" t="s">
        <v>13</v>
      </c>
      <c r="D102" s="6" t="s">
        <v>13</v>
      </c>
      <c r="E102" s="5" t="s">
        <v>13</v>
      </c>
      <c r="F102" s="6" t="s">
        <v>13</v>
      </c>
      <c r="G102" s="6">
        <v>5171.8999999999996</v>
      </c>
      <c r="H102" s="7">
        <v>6.0682602209000003E-3</v>
      </c>
      <c r="I102" s="6" t="s">
        <v>13</v>
      </c>
      <c r="J102" s="8" t="s">
        <v>13</v>
      </c>
    </row>
    <row r="103" spans="2:10" ht="15" customHeight="1" x14ac:dyDescent="0.2">
      <c r="B103" s="9" t="s">
        <v>192</v>
      </c>
      <c r="C103" s="10" t="s">
        <v>193</v>
      </c>
      <c r="D103" s="10" t="s">
        <v>13</v>
      </c>
      <c r="E103" s="10" t="s">
        <v>194</v>
      </c>
      <c r="F103" s="11">
        <v>2500000</v>
      </c>
      <c r="G103" s="12">
        <v>2490.81</v>
      </c>
      <c r="H103" s="13">
        <v>2.9225010616999998E-3</v>
      </c>
      <c r="I103" s="12">
        <v>5.18</v>
      </c>
      <c r="J103" s="8" t="s">
        <v>13</v>
      </c>
    </row>
    <row r="104" spans="2:10" ht="15" customHeight="1" x14ac:dyDescent="0.2">
      <c r="B104" s="9" t="s">
        <v>195</v>
      </c>
      <c r="C104" s="10" t="s">
        <v>196</v>
      </c>
      <c r="D104" s="10" t="s">
        <v>13</v>
      </c>
      <c r="E104" s="10" t="s">
        <v>194</v>
      </c>
      <c r="F104" s="11">
        <v>1600000</v>
      </c>
      <c r="G104" s="12">
        <v>1585.93</v>
      </c>
      <c r="H104" s="13">
        <v>1.8607931190000001E-3</v>
      </c>
      <c r="I104" s="12">
        <v>5.31</v>
      </c>
      <c r="J104" s="8" t="s">
        <v>13</v>
      </c>
    </row>
    <row r="105" spans="2:10" ht="15" customHeight="1" x14ac:dyDescent="0.2">
      <c r="B105" s="9" t="s">
        <v>195</v>
      </c>
      <c r="C105" s="10" t="s">
        <v>197</v>
      </c>
      <c r="D105" s="10" t="s">
        <v>13</v>
      </c>
      <c r="E105" s="10" t="s">
        <v>194</v>
      </c>
      <c r="F105" s="11">
        <v>800000</v>
      </c>
      <c r="G105" s="12">
        <v>797.84</v>
      </c>
      <c r="H105" s="13">
        <v>9.3611646289999998E-4</v>
      </c>
      <c r="I105" s="12">
        <v>5.19</v>
      </c>
      <c r="J105" s="8" t="s">
        <v>13</v>
      </c>
    </row>
    <row r="106" spans="2:10" ht="15" customHeight="1" x14ac:dyDescent="0.2">
      <c r="B106" s="9" t="s">
        <v>198</v>
      </c>
      <c r="C106" s="10" t="s">
        <v>199</v>
      </c>
      <c r="D106" s="10" t="s">
        <v>13</v>
      </c>
      <c r="E106" s="10" t="s">
        <v>194</v>
      </c>
      <c r="F106" s="11">
        <v>300000</v>
      </c>
      <c r="G106" s="12">
        <v>297.32</v>
      </c>
      <c r="H106" s="13">
        <v>3.4884957729999999E-4</v>
      </c>
      <c r="I106" s="12">
        <v>5.3</v>
      </c>
      <c r="J106" s="8" t="s">
        <v>13</v>
      </c>
    </row>
    <row r="107" spans="2:10" ht="15" customHeight="1" x14ac:dyDescent="0.2">
      <c r="B107" s="9" t="s">
        <v>13</v>
      </c>
      <c r="J107" s="8" t="s">
        <v>13</v>
      </c>
    </row>
    <row r="108" spans="2:10" ht="15" customHeight="1" x14ac:dyDescent="0.2">
      <c r="B108" s="4" t="s">
        <v>200</v>
      </c>
      <c r="C108" s="5" t="s">
        <v>13</v>
      </c>
      <c r="D108" s="6" t="s">
        <v>13</v>
      </c>
      <c r="E108" s="5" t="s">
        <v>13</v>
      </c>
      <c r="F108" s="6" t="s">
        <v>13</v>
      </c>
      <c r="G108" s="6" t="s">
        <v>182</v>
      </c>
      <c r="H108" s="7" t="s">
        <v>182</v>
      </c>
      <c r="I108" s="6" t="s">
        <v>13</v>
      </c>
      <c r="J108" s="8" t="s">
        <v>13</v>
      </c>
    </row>
    <row r="109" spans="2:10" ht="15" customHeight="1" x14ac:dyDescent="0.2">
      <c r="B109" s="9" t="s">
        <v>13</v>
      </c>
      <c r="J109" s="8" t="s">
        <v>13</v>
      </c>
    </row>
    <row r="110" spans="2:10" ht="15" customHeight="1" x14ac:dyDescent="0.2">
      <c r="B110" s="4" t="s">
        <v>201</v>
      </c>
      <c r="C110" s="5" t="s">
        <v>13</v>
      </c>
      <c r="D110" s="6" t="s">
        <v>13</v>
      </c>
      <c r="E110" s="5" t="s">
        <v>13</v>
      </c>
      <c r="F110" s="6" t="s">
        <v>13</v>
      </c>
      <c r="G110" s="6">
        <v>24107.55</v>
      </c>
      <c r="H110" s="7">
        <v>2.8285714474600002E-2</v>
      </c>
      <c r="I110" s="6" t="s">
        <v>13</v>
      </c>
      <c r="J110" s="8" t="s">
        <v>13</v>
      </c>
    </row>
    <row r="111" spans="2:10" ht="15" customHeight="1" x14ac:dyDescent="0.2">
      <c r="B111" s="9" t="s">
        <v>13</v>
      </c>
      <c r="J111" s="8" t="s">
        <v>13</v>
      </c>
    </row>
    <row r="112" spans="2:10" ht="15" customHeight="1" x14ac:dyDescent="0.2">
      <c r="B112" s="4" t="s">
        <v>202</v>
      </c>
      <c r="C112" s="5" t="s">
        <v>13</v>
      </c>
      <c r="D112" s="6" t="s">
        <v>13</v>
      </c>
      <c r="E112" s="5" t="s">
        <v>13</v>
      </c>
      <c r="F112" s="6" t="s">
        <v>13</v>
      </c>
      <c r="G112" s="6">
        <v>2715</v>
      </c>
      <c r="H112" s="7">
        <v>3.1855462209000002E-3</v>
      </c>
      <c r="I112" s="6" t="s">
        <v>13</v>
      </c>
      <c r="J112" s="8" t="s">
        <v>13</v>
      </c>
    </row>
    <row r="113" spans="2:10" ht="15" customHeight="1" x14ac:dyDescent="0.2">
      <c r="B113" s="9" t="s">
        <v>203</v>
      </c>
      <c r="C113" s="10"/>
      <c r="D113" s="10" t="s">
        <v>13</v>
      </c>
      <c r="E113" s="10"/>
      <c r="G113" s="12">
        <v>2715</v>
      </c>
      <c r="H113" s="13">
        <v>3.1855462209000002E-3</v>
      </c>
      <c r="I113" s="12" t="s">
        <v>13</v>
      </c>
      <c r="J113" s="8" t="s">
        <v>13</v>
      </c>
    </row>
    <row r="114" spans="2:10" ht="15" customHeight="1" x14ac:dyDescent="0.2">
      <c r="B114" s="9" t="s">
        <v>13</v>
      </c>
      <c r="J114" s="8" t="s">
        <v>13</v>
      </c>
    </row>
    <row r="115" spans="2:10" ht="15" customHeight="1" x14ac:dyDescent="0.2">
      <c r="B115" s="14" t="s">
        <v>204</v>
      </c>
      <c r="C115" s="15" t="s">
        <v>13</v>
      </c>
      <c r="D115" s="15" t="s">
        <v>13</v>
      </c>
      <c r="E115" s="15" t="s">
        <v>13</v>
      </c>
      <c r="F115" s="15" t="s">
        <v>13</v>
      </c>
      <c r="G115" s="15">
        <v>173.83551947958767</v>
      </c>
      <c r="H115" s="16">
        <v>2.0396356616705707E-4</v>
      </c>
      <c r="I115" s="15" t="s">
        <v>13</v>
      </c>
      <c r="J115" s="17" t="s">
        <v>13</v>
      </c>
    </row>
    <row r="116" spans="2:10" ht="15" customHeight="1" x14ac:dyDescent="0.2">
      <c r="B116" s="14" t="s">
        <v>205</v>
      </c>
      <c r="C116" s="15" t="s">
        <v>13</v>
      </c>
      <c r="D116" s="15" t="s">
        <v>13</v>
      </c>
      <c r="E116" s="15" t="s">
        <v>13</v>
      </c>
      <c r="F116" s="15" t="s">
        <v>13</v>
      </c>
      <c r="G116" s="15">
        <v>852287.11551947996</v>
      </c>
      <c r="H116" s="16">
        <v>0.99999999999616718</v>
      </c>
      <c r="I116" s="15" t="s">
        <v>13</v>
      </c>
      <c r="J116" s="17" t="s">
        <v>13</v>
      </c>
    </row>
    <row r="118" spans="2:10" ht="15" customHeight="1" x14ac:dyDescent="0.2">
      <c r="B118" s="15" t="s">
        <v>206</v>
      </c>
      <c r="C118" s="15" t="s">
        <v>13</v>
      </c>
      <c r="D118" s="15" t="s">
        <v>13</v>
      </c>
      <c r="E118" s="15" t="s">
        <v>13</v>
      </c>
      <c r="F118" s="15" t="s">
        <v>13</v>
      </c>
      <c r="G118" s="15" t="s">
        <v>13</v>
      </c>
      <c r="H118" s="15" t="s">
        <v>13</v>
      </c>
    </row>
    <row r="119" spans="2:10" ht="15" customHeight="1" x14ac:dyDescent="0.2">
      <c r="B119" s="15" t="s">
        <v>3</v>
      </c>
      <c r="C119" s="15" t="s">
        <v>4</v>
      </c>
      <c r="D119" s="15" t="s">
        <v>5</v>
      </c>
      <c r="E119" s="15" t="s">
        <v>6</v>
      </c>
      <c r="F119" s="15" t="s">
        <v>7</v>
      </c>
      <c r="G119" s="15" t="s">
        <v>8</v>
      </c>
      <c r="H119" s="15" t="s">
        <v>9</v>
      </c>
    </row>
    <row r="120" spans="2:10" ht="15" customHeight="1" x14ac:dyDescent="0.2">
      <c r="B120" s="4" t="s">
        <v>207</v>
      </c>
      <c r="C120" s="5" t="s">
        <v>13</v>
      </c>
      <c r="D120" s="5" t="s">
        <v>13</v>
      </c>
      <c r="E120" s="5" t="s">
        <v>13</v>
      </c>
      <c r="F120" s="5" t="s">
        <v>13</v>
      </c>
      <c r="G120" s="5" t="s">
        <v>13</v>
      </c>
      <c r="H120" s="5" t="s">
        <v>13</v>
      </c>
    </row>
    <row r="121" spans="2:10" ht="15" customHeight="1" x14ac:dyDescent="0.2">
      <c r="B121" s="9" t="s">
        <v>208</v>
      </c>
      <c r="C121" s="10"/>
      <c r="D121" s="10" t="s">
        <v>13</v>
      </c>
      <c r="E121" s="10" t="s">
        <v>63</v>
      </c>
      <c r="F121" s="11">
        <v>620000</v>
      </c>
      <c r="G121" s="12">
        <v>4100.68</v>
      </c>
      <c r="H121" s="13">
        <v>4.8113833064999997E-3</v>
      </c>
      <c r="I121" s="12" t="s">
        <v>13</v>
      </c>
      <c r="J121" s="8" t="s">
        <v>13</v>
      </c>
    </row>
    <row r="125" spans="2:10" ht="15" customHeight="1" x14ac:dyDescent="0.2">
      <c r="B125" s="53" t="s">
        <v>209</v>
      </c>
      <c r="C125" s="54"/>
      <c r="D125" s="54"/>
      <c r="E125" s="54"/>
      <c r="F125" s="54"/>
      <c r="G125" s="54"/>
      <c r="H125" s="54"/>
      <c r="I125" s="54"/>
    </row>
    <row r="129" spans="2:5" ht="15" customHeight="1" x14ac:dyDescent="0.2">
      <c r="B129" s="19" t="s">
        <v>210</v>
      </c>
    </row>
    <row r="130" spans="2:5" ht="12.75" x14ac:dyDescent="0.2">
      <c r="B130" s="10" t="s">
        <v>211</v>
      </c>
      <c r="C130" s="10" t="s">
        <v>182</v>
      </c>
    </row>
    <row r="131" spans="2:5" ht="12.75" x14ac:dyDescent="0.2">
      <c r="B131" s="10" t="s">
        <v>212</v>
      </c>
      <c r="C131" s="10" t="s">
        <v>182</v>
      </c>
    </row>
    <row r="132" spans="2:5" ht="12.75" x14ac:dyDescent="0.2">
      <c r="B132" s="19" t="s">
        <v>213</v>
      </c>
    </row>
    <row r="134" spans="2:5" ht="35.1" customHeight="1" x14ac:dyDescent="0.2">
      <c r="B134" s="20" t="s">
        <v>214</v>
      </c>
      <c r="C134" s="20" t="s">
        <v>215</v>
      </c>
      <c r="D134" s="20" t="s">
        <v>216</v>
      </c>
      <c r="E134" s="21" t="s">
        <v>217</v>
      </c>
    </row>
    <row r="135" spans="2:5" ht="12.75" x14ac:dyDescent="0.2">
      <c r="B135" s="9" t="s">
        <v>218</v>
      </c>
      <c r="C135" s="10">
        <v>204.06</v>
      </c>
      <c r="D135" s="10">
        <v>202.51</v>
      </c>
      <c r="E135" s="22" t="s">
        <v>219</v>
      </c>
    </row>
    <row r="136" spans="2:5" ht="12.75" x14ac:dyDescent="0.2">
      <c r="B136" s="9" t="s">
        <v>220</v>
      </c>
      <c r="C136" s="10">
        <v>28.73</v>
      </c>
      <c r="D136" s="10">
        <v>28.51</v>
      </c>
      <c r="E136" s="22" t="s">
        <v>219</v>
      </c>
    </row>
    <row r="137" spans="2:5" ht="12.75" x14ac:dyDescent="0.2">
      <c r="B137" s="9" t="s">
        <v>221</v>
      </c>
      <c r="C137" s="10">
        <v>222.82</v>
      </c>
      <c r="D137" s="10">
        <v>221.24</v>
      </c>
      <c r="E137" s="22" t="s">
        <v>219</v>
      </c>
    </row>
    <row r="138" spans="2:5" ht="12.75" x14ac:dyDescent="0.2">
      <c r="B138" s="9" t="s">
        <v>222</v>
      </c>
      <c r="C138" s="10">
        <v>48.68</v>
      </c>
      <c r="D138" s="10">
        <v>48.34</v>
      </c>
      <c r="E138" s="22" t="s">
        <v>219</v>
      </c>
    </row>
    <row r="139" spans="2:5" ht="12.75" x14ac:dyDescent="0.2">
      <c r="B139" s="23" t="s">
        <v>13</v>
      </c>
      <c r="C139" s="23" t="s">
        <v>13</v>
      </c>
      <c r="D139" s="23" t="s">
        <v>13</v>
      </c>
      <c r="E139" s="23" t="s">
        <v>13</v>
      </c>
    </row>
    <row r="140" spans="2:5" ht="12.75" x14ac:dyDescent="0.2">
      <c r="B140" s="10" t="s">
        <v>223</v>
      </c>
      <c r="C140" s="10" t="s">
        <v>224</v>
      </c>
    </row>
    <row r="141" spans="2:5" ht="12.75" x14ac:dyDescent="0.2">
      <c r="B141" s="10" t="s">
        <v>225</v>
      </c>
      <c r="C141" s="10" t="s">
        <v>182</v>
      </c>
    </row>
    <row r="142" spans="2:5" ht="12.75" x14ac:dyDescent="0.2">
      <c r="B142" s="10" t="s">
        <v>226</v>
      </c>
      <c r="C142" s="10" t="s">
        <v>227</v>
      </c>
    </row>
    <row r="143" spans="2:5" ht="12.75" x14ac:dyDescent="0.2">
      <c r="B143" s="10" t="s">
        <v>228</v>
      </c>
      <c r="C143" s="10" t="s">
        <v>182</v>
      </c>
    </row>
    <row r="145" spans="2:9" ht="15" customHeight="1" x14ac:dyDescent="0.2">
      <c r="B145" s="53" t="s">
        <v>229</v>
      </c>
      <c r="C145" s="54"/>
      <c r="D145" s="54"/>
      <c r="E145" s="54"/>
      <c r="F145" s="54"/>
      <c r="G145" s="54"/>
      <c r="H145" s="54"/>
      <c r="I145" s="54"/>
    </row>
    <row r="146" spans="2:9" ht="15" customHeight="1" x14ac:dyDescent="0.2">
      <c r="B146" s="53" t="s">
        <v>230</v>
      </c>
      <c r="C146" s="54"/>
      <c r="D146" s="54"/>
      <c r="E146" s="54"/>
      <c r="F146" s="54"/>
      <c r="G146" s="54"/>
      <c r="H146" s="54"/>
    </row>
    <row r="147" spans="2:9" ht="15" customHeight="1" x14ac:dyDescent="0.2">
      <c r="B147" s="53" t="s">
        <v>231</v>
      </c>
      <c r="C147" s="54"/>
      <c r="D147" s="54"/>
      <c r="E147" s="54"/>
      <c r="F147" s="54"/>
      <c r="G147" s="54"/>
      <c r="H147" s="54"/>
    </row>
    <row r="148" spans="2:9" ht="27.6" customHeight="1" x14ac:dyDescent="0.2">
      <c r="B148" s="55" t="s">
        <v>232</v>
      </c>
      <c r="C148" s="54"/>
      <c r="D148" s="54"/>
      <c r="E148" s="54"/>
      <c r="F148" s="54"/>
      <c r="G148" s="54"/>
      <c r="H148" s="54"/>
    </row>
    <row r="149" spans="2:9" ht="27.6" customHeight="1" x14ac:dyDescent="0.2">
      <c r="B149" s="55" t="s">
        <v>233</v>
      </c>
      <c r="C149" s="54"/>
      <c r="D149" s="54"/>
      <c r="E149" s="54"/>
      <c r="F149" s="54"/>
      <c r="G149" s="54"/>
      <c r="H149" s="54"/>
    </row>
    <row r="150" spans="2:9" ht="27.6" customHeight="1" x14ac:dyDescent="0.2">
      <c r="B150" s="55" t="s">
        <v>234</v>
      </c>
      <c r="C150" s="54"/>
      <c r="D150" s="54"/>
      <c r="E150" s="54"/>
      <c r="F150" s="54"/>
      <c r="G150" s="54"/>
      <c r="H150" s="54"/>
    </row>
    <row r="153" spans="2:9" ht="12.75" x14ac:dyDescent="0.2">
      <c r="B153" s="18" t="s">
        <v>235</v>
      </c>
    </row>
    <row r="168" spans="2:2" ht="12.75" x14ac:dyDescent="0.2">
      <c r="B168" s="18" t="s">
        <v>236</v>
      </c>
    </row>
    <row r="169" spans="2:2" ht="12.75" x14ac:dyDescent="0.2">
      <c r="B169" s="18" t="s">
        <v>237</v>
      </c>
    </row>
  </sheetData>
  <mergeCells count="10">
    <mergeCell ref="B1:J1"/>
    <mergeCell ref="B2:J2"/>
    <mergeCell ref="B3:J3"/>
    <mergeCell ref="B125:I125"/>
    <mergeCell ref="B145:I145"/>
    <mergeCell ref="B146:H146"/>
    <mergeCell ref="B147:H147"/>
    <mergeCell ref="B148:H148"/>
    <mergeCell ref="B149:H149"/>
    <mergeCell ref="B150:H15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9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238</v>
      </c>
      <c r="C1" s="18"/>
      <c r="D1" s="18"/>
      <c r="E1" s="18"/>
      <c r="F1" s="18"/>
    </row>
    <row r="2" spans="1:8" x14ac:dyDescent="0.2">
      <c r="B2" s="24"/>
      <c r="C2" s="18"/>
      <c r="D2" s="18"/>
      <c r="E2" s="18"/>
      <c r="F2" s="18"/>
    </row>
    <row r="3" spans="1:8" x14ac:dyDescent="0.2">
      <c r="A3">
        <v>1</v>
      </c>
      <c r="B3" s="59" t="s">
        <v>239</v>
      </c>
      <c r="C3" s="59" t="s">
        <v>240</v>
      </c>
      <c r="D3" s="59" t="s">
        <v>240</v>
      </c>
      <c r="E3" s="59" t="s">
        <v>240</v>
      </c>
      <c r="F3" s="59" t="s">
        <v>240</v>
      </c>
    </row>
    <row r="4" spans="1:8" x14ac:dyDescent="0.2">
      <c r="D4"/>
    </row>
    <row r="5" spans="1:8" x14ac:dyDescent="0.2">
      <c r="A5">
        <v>2</v>
      </c>
      <c r="B5" s="59" t="s">
        <v>241</v>
      </c>
      <c r="C5" s="59" t="s">
        <v>242</v>
      </c>
      <c r="D5" s="59" t="s">
        <v>242</v>
      </c>
      <c r="E5" s="59" t="s">
        <v>242</v>
      </c>
      <c r="F5" s="59" t="s">
        <v>242</v>
      </c>
    </row>
    <row r="6" spans="1:8" x14ac:dyDescent="0.2">
      <c r="B6" s="25"/>
      <c r="C6" s="25"/>
      <c r="D6" s="25"/>
      <c r="E6" s="25"/>
      <c r="F6" s="25"/>
    </row>
    <row r="7" spans="1:8" ht="45" x14ac:dyDescent="0.2">
      <c r="B7" s="26" t="s">
        <v>243</v>
      </c>
      <c r="C7" s="27" t="s">
        <v>244</v>
      </c>
      <c r="D7" s="28" t="s">
        <v>245</v>
      </c>
      <c r="E7" s="28" t="s">
        <v>246</v>
      </c>
      <c r="F7" s="28" t="s">
        <v>247</v>
      </c>
      <c r="G7" s="28" t="s">
        <v>248</v>
      </c>
    </row>
    <row r="8" spans="1:8" ht="15" x14ac:dyDescent="0.3">
      <c r="B8" s="29" t="s">
        <v>249</v>
      </c>
      <c r="C8" s="29" t="s">
        <v>250</v>
      </c>
      <c r="D8" s="29" t="s">
        <v>251</v>
      </c>
      <c r="E8" s="30">
        <v>615.35900000000004</v>
      </c>
      <c r="F8" s="30">
        <v>661.4</v>
      </c>
      <c r="G8" s="52">
        <v>737.23580000000004</v>
      </c>
    </row>
    <row r="9" spans="1:8" ht="15" x14ac:dyDescent="0.3">
      <c r="B9" s="31"/>
      <c r="C9" s="31"/>
      <c r="D9" s="31"/>
      <c r="E9" s="32"/>
      <c r="F9" s="32"/>
      <c r="G9" s="33"/>
    </row>
    <row r="10" spans="1:8" x14ac:dyDescent="0.2">
      <c r="A10">
        <v>3</v>
      </c>
      <c r="B10" s="59" t="s">
        <v>252</v>
      </c>
      <c r="C10" s="59" t="s">
        <v>253</v>
      </c>
      <c r="D10" s="59" t="s">
        <v>253</v>
      </c>
      <c r="E10" s="59" t="s">
        <v>253</v>
      </c>
    </row>
    <row r="11" spans="1:8" x14ac:dyDescent="0.2">
      <c r="D11"/>
    </row>
    <row r="12" spans="1:8" x14ac:dyDescent="0.2">
      <c r="A12">
        <v>4</v>
      </c>
      <c r="B12" s="59" t="s">
        <v>254</v>
      </c>
      <c r="C12" s="59" t="s">
        <v>255</v>
      </c>
      <c r="D12" s="59" t="s">
        <v>255</v>
      </c>
      <c r="E12" s="59" t="s">
        <v>255</v>
      </c>
      <c r="F12" s="59" t="s">
        <v>255</v>
      </c>
    </row>
    <row r="13" spans="1:8" x14ac:dyDescent="0.2">
      <c r="B13" s="25"/>
      <c r="C13" s="25"/>
      <c r="D13" s="25"/>
      <c r="E13" s="25"/>
      <c r="F13" s="25"/>
    </row>
    <row r="14" spans="1:8" x14ac:dyDescent="0.2">
      <c r="A14">
        <v>5</v>
      </c>
      <c r="B14" s="59" t="s">
        <v>256</v>
      </c>
      <c r="C14" s="59"/>
      <c r="D14" s="59"/>
      <c r="E14" s="59"/>
      <c r="F14" s="59"/>
    </row>
    <row r="15" spans="1:8" x14ac:dyDescent="0.2">
      <c r="B15" s="25"/>
      <c r="C15" s="25"/>
      <c r="D15" s="25"/>
      <c r="E15" s="25"/>
      <c r="F15" s="25"/>
    </row>
    <row r="16" spans="1:8" ht="15" x14ac:dyDescent="0.2">
      <c r="A16" s="34" t="s">
        <v>257</v>
      </c>
      <c r="B16" s="35" t="s">
        <v>258</v>
      </c>
      <c r="C16" s="36"/>
      <c r="D16" s="37"/>
      <c r="E16" s="38"/>
      <c r="F16" s="39"/>
      <c r="G16" s="39"/>
      <c r="H16" s="40"/>
    </row>
    <row r="18" spans="1:8" ht="15" x14ac:dyDescent="0.2">
      <c r="A18" s="34" t="s">
        <v>259</v>
      </c>
      <c r="B18" s="35" t="s">
        <v>260</v>
      </c>
      <c r="C18" s="36"/>
      <c r="D18" s="37"/>
      <c r="E18" s="38"/>
      <c r="F18" s="38"/>
      <c r="G18" s="38"/>
      <c r="H18" s="40"/>
    </row>
    <row r="19" spans="1:8" ht="15" x14ac:dyDescent="0.2">
      <c r="B19" s="41" t="s">
        <v>261</v>
      </c>
      <c r="C19" s="41"/>
      <c r="D19" s="41"/>
      <c r="E19" s="41"/>
      <c r="F19" s="41"/>
      <c r="G19" s="41"/>
      <c r="H19" s="41"/>
    </row>
    <row r="20" spans="1:8" ht="75" x14ac:dyDescent="0.2">
      <c r="B20" s="42" t="s">
        <v>243</v>
      </c>
      <c r="C20" s="42" t="s">
        <v>262</v>
      </c>
      <c r="D20" s="42"/>
      <c r="E20" s="42" t="s">
        <v>263</v>
      </c>
      <c r="F20" s="42"/>
      <c r="G20" s="43" t="s">
        <v>264</v>
      </c>
      <c r="H20" s="43" t="s">
        <v>265</v>
      </c>
    </row>
    <row r="21" spans="1:8" ht="45" x14ac:dyDescent="0.2">
      <c r="B21" s="42"/>
      <c r="C21" s="43" t="s">
        <v>266</v>
      </c>
      <c r="D21" s="43" t="s">
        <v>267</v>
      </c>
      <c r="E21" s="43" t="s">
        <v>266</v>
      </c>
      <c r="F21" s="43" t="s">
        <v>267</v>
      </c>
      <c r="G21" s="43"/>
      <c r="H21" s="43"/>
    </row>
    <row r="22" spans="1:8" ht="15" x14ac:dyDescent="0.3">
      <c r="B22" s="44" t="s">
        <v>249</v>
      </c>
      <c r="C22" s="45">
        <v>775</v>
      </c>
      <c r="D22" s="46">
        <v>3733.6019879999999</v>
      </c>
      <c r="E22" s="46">
        <v>0</v>
      </c>
      <c r="F22" s="46">
        <v>0</v>
      </c>
      <c r="G22" s="46">
        <v>129.424252</v>
      </c>
      <c r="H22" s="47">
        <v>4.8113833065522556E-3</v>
      </c>
    </row>
    <row r="24" spans="1:8" ht="15" x14ac:dyDescent="0.3">
      <c r="B24" s="48" t="s">
        <v>268</v>
      </c>
    </row>
    <row r="26" spans="1:8" ht="15" x14ac:dyDescent="0.3">
      <c r="A26">
        <v>7</v>
      </c>
      <c r="B26" s="50" t="s">
        <v>269</v>
      </c>
      <c r="C26" s="51"/>
      <c r="D26" s="51"/>
      <c r="E26" s="51"/>
      <c r="F26" s="51"/>
      <c r="G26" s="51"/>
      <c r="H26" s="51"/>
    </row>
    <row r="27" spans="1:8" ht="15" x14ac:dyDescent="0.3">
      <c r="B27" s="50"/>
      <c r="C27" s="51"/>
      <c r="D27" s="51"/>
      <c r="E27" s="51"/>
      <c r="F27" s="51"/>
      <c r="G27" s="51"/>
      <c r="H27" s="51"/>
    </row>
    <row r="28" spans="1:8" x14ac:dyDescent="0.2">
      <c r="A28">
        <v>8</v>
      </c>
      <c r="B28" t="s">
        <v>270</v>
      </c>
    </row>
    <row r="30" spans="1:8" x14ac:dyDescent="0.2">
      <c r="A30">
        <v>9</v>
      </c>
      <c r="B30" t="s">
        <v>271</v>
      </c>
    </row>
  </sheetData>
  <mergeCells count="5">
    <mergeCell ref="B3:F3"/>
    <mergeCell ref="B5:F5"/>
    <mergeCell ref="B10:E10"/>
    <mergeCell ref="B12:F12"/>
    <mergeCell ref="B14:F14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Tanmaya Katvi/MFOPS/CSO</cp:lastModifiedBy>
  <dcterms:modified xsi:type="dcterms:W3CDTF">2026-08-07T12:35:44Z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2026-08-07T10:57:13Z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fa646853-2d95-47c9-9f2f-dd658b399b4f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