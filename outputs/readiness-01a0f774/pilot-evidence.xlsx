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df3e358e2a4a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siness" sheetId="1" r:id="R3efdb13408004b7b"/>
    <x:sheet xmlns:r="http://schemas.openxmlformats.org/officeDocument/2006/relationships" name="Interviews" sheetId="2" r:id="R21c719440e684118"/>
    <x:sheet xmlns:r="http://schemas.openxmlformats.org/officeDocument/2006/relationships" name="Tasks" sheetId="3" r:id="Re35ff24f290f4dc1"/>
    <x:sheet xmlns:r="http://schemas.openxmlformats.org/officeDocument/2006/relationships" name="Pilot" sheetId="4" r:id="R244e59b86fcc4ea2"/>
    <x:sheet xmlns:r="http://schemas.openxmlformats.org/officeDocument/2006/relationships" name="Operations" sheetId="5" r:id="Rfdb5611360904364"/>
    <x:sheet xmlns:r="http://schemas.openxmlformats.org/officeDocument/2006/relationships" name="Channels" sheetId="6" r:id="R6767630b3f294e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mmm-yy"/>
    <x:numFmt numFmtId="201" formatCode="0.0%"/>
    <x:numFmt numFmtId="202" formatCode="#,##0.00;(#,##0.00);&quot;-&quot;"/>
    <x:numFmt numFmtId="203" formatCode="#,##0"/>
    <x:numFmt numFmtId="204" formatCode="dd-mmm-yy"/>
    <x:numFmt numFmtId="205" formatCode="0.00"/>
  </x:numFmts>
  <x:fonts count="6">
    <x:font>
      <x:sz val="11"/>
      <x:name val="Carlito"/>
    </x:font>
    <x:font>
      <x:sz val="11"/>
      <x:color rgb="FF172C35"/>
      <x:name val="Arial"/>
    </x:font>
    <x:font>
      <x:b/>
      <x:sz val="16"/>
      <x:color rgb="FF172C35"/>
      <x:name val="Arial"/>
    </x:font>
    <x:font>
      <x:sz val="11"/>
      <x:color rgb="FF165AC7"/>
      <x:name val="Arial"/>
    </x:font>
    <x:font>
      <x:b/>
      <x:sz val="11"/>
      <x:color rgb="FFFFFFFF"/>
      <x:name val="Arial"/>
    </x:font>
    <x:font>
      <x:sz val="11"/>
      <x:color rgb="FF165AC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FF7DA"/>
      </x:patternFill>
    </x:fill>
    <x:fill>
      <x:patternFill patternType="solid">
        <x:fgColor rgb="FF243F50"/>
      </x:patternFill>
    </x:fill>
  </x:fills>
  <x:borders count="2">
    <x:border/>
    <x:border>
      <x:bottom style="thin">
        <x:color rgb="FF8AA0AA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1" fontId="3" fillId="2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3" fillId="2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4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0" fillId="0" borderId="0" xfId="0" applyNumberFormat="1" applyFont="1" applyFill="1" applyBorder="1" applyAlignment="1">
      <x:alignment horizontal="right"/>
    </x:xf>
    <x:xf numFmtId="205" fontId="3" fillId="2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2e140730bc446e" /><Relationship Type="http://schemas.openxmlformats.org/officeDocument/2006/relationships/theme" Target="/xl/theme/theme1.xml" Id="R74d09142f7314b5c" /><Relationship Type="http://schemas.openxmlformats.org/officeDocument/2006/relationships/sharedStrings" Target="/xl/sharedStrings.xml" Id="Rd7eeb47556cf4b27" /><Relationship Type="http://schemas.openxmlformats.org/officeDocument/2006/relationships/worksheet" Target="/xl/worksheets/sheet1.xml" Id="R3efdb13408004b7b" /><Relationship Type="http://schemas.openxmlformats.org/officeDocument/2006/relationships/worksheet" Target="/xl/worksheets/sheet2.xml" Id="R21c719440e684118" /><Relationship Type="http://schemas.openxmlformats.org/officeDocument/2006/relationships/worksheet" Target="/xl/worksheets/sheet3.xml" Id="Re35ff24f290f4dc1" /><Relationship Type="http://schemas.openxmlformats.org/officeDocument/2006/relationships/worksheet" Target="/xl/worksheets/sheet4.xml" Id="R244e59b86fcc4ea2" /><Relationship Type="http://schemas.openxmlformats.org/officeDocument/2006/relationships/worksheet" Target="/xl/worksheets/sheet5.xml" Id="Rfdb5611360904364" /><Relationship Type="http://schemas.openxmlformats.org/officeDocument/2006/relationships/worksheet" Target="/xl/worksheets/sheet6.xml" Id="R6767630b3f294e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F50"/>
  </x:sheetPr>
  <x:sheetViews>
    <x:sheetView showGridLines="0" workbookViewId="0"/>
  </x:sheetViews>
  <x:sheetFormatPr defaultRowHeight="15"/>
  <x:cols>
    <x:col min="1" max="1" width="46" hidden="0" customWidth="1"/>
    <x:col min="2" max="2" width="20" hidden="0" customWidth="1"/>
    <x:col min="3" max="3" width="68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3" t="str">
        <x:v>FindIt business assumptions</x:v>
      </x:c>
      <x:c r="B2" s="2"/>
      <x:c r="C2" s="2"/>
      <x:c r="D2" s="2"/>
    </x:row>
    <x:row r="3" ht="24" customHeight="1">
      <x:c r="A3" s="2"/>
      <x:c r="B3" s="2"/>
      <x:c r="C3" s="2"/>
      <x:c r="D3" s="2"/>
    </x:row>
    <x:row r="4" ht="24" customHeight="1">
      <x:c r="A4" s="4" t="str">
        <x:v>Case selected</x:v>
      </x:c>
      <x:c r="B4" s="6" t="n">
        <x:v>1</x:v>
      </x:c>
      <x:c r="C4" s="4" t="str">
        <x:v>1 = Base, 2 = Downside</x:v>
      </x:c>
      <x:c r="D4" s="4"/>
    </x:row>
    <x:row r="5" ht="24" customHeight="1">
      <x:c r="A5" s="2" t="str">
        <x:v>Status</x:v>
      </x:c>
      <x:c r="B5" s="2" t="str">
        <x:f>IF(AND(ISNUMBER(B18),COUNT(B19:B24)=6,COUNT(B25,B29)=2),"Assumption model only","Inputs incomplete")</x:f>
        <x:v>Inputs incomplete</x:v>
      </x:c>
      <x:c r="C5" s="2" t="str">
        <x:v>Unvalidated assumptions. Blank required inputs remain unavailable.</x:v>
      </x:c>
      <x:c r="D5" s="2"/>
    </x:row>
    <x:row r="6" ht="24" customHeight="1">
      <x:c r="A6" s="2"/>
      <x:c r="B6" s="2"/>
      <x:c r="C6" s="2"/>
      <x:c r="D6" s="2"/>
    </x:row>
    <x:row r="7" ht="42" customHeight="1">
      <x:c r="A7" s="10" t="str">
        <x:v>Monthly scenario result</x:v>
      </x:c>
      <x:c r="B7" s="10" t="str">
        <x:v>Value</x:v>
      </x:c>
      <x:c r="C7" s="10" t="str">
        <x:v>Meaning</x:v>
      </x:c>
      <x:c r="D7" s="2"/>
    </x:row>
    <x:row r="8" ht="24" customHeight="1">
      <x:c r="A8" s="2" t="str">
        <x:v>Paying customers assumed</x:v>
      </x:c>
      <x:c r="B8" s="18" t="str">
        <x:f>IF(AND(ISNUMBER(B18),COUNT(B19:B22)=4,ISNUMBER(B25)),B19*B20*B21*B25,"n.a.")</x:f>
        <x:v>n.a.</x:v>
      </x:c>
      <x:c r="C8" s="2" t="str">
        <x:v>Addressable roles × reach × conversion × retention</x:v>
      </x:c>
      <x:c r="D8" s="2"/>
    </x:row>
    <x:row r="9" ht="24" customHeight="1">
      <x:c r="A9" s="2" t="str">
        <x:v>Monthly revenue assumed (INR)</x:v>
      </x:c>
      <x:c r="B9" s="18" t="str">
        <x:f>IF(COUNT(B8,B22)=2,B8*B22,"n.a.")</x:f>
        <x:v>n.a.</x:v>
      </x:c>
      <x:c r="C9" s="2" t="str">
        <x:v>Scenario calculation, not observed revenue or collections</x:v>
      </x:c>
      <x:c r="D9" s="2"/>
    </x:row>
    <x:row r="10" ht="24" customHeight="1">
      <x:c r="A10" s="2" t="str">
        <x:v>Cash cost per active customer (INR)</x:v>
      </x:c>
      <x:c r="B10" s="18" t="str">
        <x:f>IF(AND(COUNT(B23,B8)=2,B8&gt;0),B23/B8,"n.a.")</x:f>
        <x:v>n.a.</x:v>
      </x:c>
      <x:c r="C10" s="2" t="str">
        <x:v>Unavailable when customer count is zero</x:v>
      </x:c>
      <x:c r="D10" s="2"/>
    </x:row>
    <x:row r="11" ht="24" customHeight="1">
      <x:c r="A11" s="2" t="str">
        <x:v>Cash plus founder labor (INR)</x:v>
      </x:c>
      <x:c r="B11" s="18" t="str">
        <x:f>IF(COUNT(B23,B24,B29)=3,B23+B24*B29,"n.a.")</x:f>
        <x:v>n.a.</x:v>
      </x:c>
      <x:c r="C11" s="2" t="str">
        <x:v>Founder hourly value is an assumption, separate from cash</x:v>
      </x:c>
      <x:c r="D11" s="2"/>
    </x:row>
    <x:row r="12" ht="24" customHeight="1">
      <x:c r="A12" s="2" t="str">
        <x:v>Contribution after labor (INR)</x:v>
      </x:c>
      <x:c r="B12" s="18" t="str">
        <x:f>IF(COUNT(B9,B11)=2,B9-B11,"n.a.")</x:f>
        <x:v>n.a.</x:v>
      </x:c>
      <x:c r="C12" s="2" t="str">
        <x:v>Monthly scenario revenue less cash and maintenance labor</x:v>
      </x:c>
      <x:c r="D12" s="2"/>
    </x:row>
    <x:row r="13" ht="24" customHeight="1">
      <x:c r="A13" s="2"/>
      <x:c r="B13" s="2"/>
      <x:c r="C13" s="2"/>
      <x:c r="D13" s="2"/>
    </x:row>
    <x:row r="14" ht="24" customHeight="1">
      <x:c r="A14" s="2"/>
      <x:c r="B14" s="2"/>
      <x:c r="C14" s="2"/>
      <x:c r="D14" s="2"/>
    </x:row>
    <x:row r="15" ht="24" customHeight="1">
      <x:c r="A15" s="2"/>
      <x:c r="B15" s="2"/>
      <x:c r="C15" s="2"/>
      <x:c r="D15" s="2"/>
    </x:row>
    <x:row r="16" ht="24" customHeight="1">
      <x:c r="A16" s="2"/>
      <x:c r="B16" s="2"/>
      <x:c r="C16" s="2"/>
      <x:c r="D16" s="2"/>
    </x:row>
    <x:row r="17" ht="42" customHeight="1">
      <x:c r="A17" s="10" t="str">
        <x:v>Input or assumption</x:v>
      </x:c>
      <x:c r="B17" s="10" t="str">
        <x:v>Value</x:v>
      </x:c>
      <x:c r="C17" s="10" t="str">
        <x:v>Source / evidence to enter</x:v>
      </x:c>
      <x:c r="D17" s="2"/>
    </x:row>
    <x:row r="18" ht="24" customHeight="1">
      <x:c r="A18" s="2" t="str">
        <x:v>Scenario month</x:v>
      </x:c>
      <x:c r="B18" s="13"/>
      <x:c r="C18" s="2" t="str">
        <x:v>Enter the period. Keep source costs and customer counts aligned.</x:v>
      </x:c>
      <x:c r="D18" s="2"/>
    </x:row>
    <x:row r="19" ht="24" customHeight="1">
      <x:c r="A19" s="2" t="str">
        <x:v>Verified addressable customer roles</x:v>
      </x:c>
      <x:c r="B19" s="17"/>
      <x:c r="C19" s="2" t="str">
        <x:v>Count an identified, deduplicated source population. Unknown today.</x:v>
      </x:c>
      <x:c r="D19" s="2"/>
    </x:row>
    <x:row r="20" ht="24" customHeight="1">
      <x:c r="A20" s="2" t="str">
        <x:v>Reachable share assumed</x:v>
      </x:c>
      <x:c r="B20" s="14"/>
      <x:c r="C20" s="2" t="str">
        <x:v>Qualified reach in the chosen channel, 0 to 1.</x:v>
      </x:c>
      <x:c r="D20" s="2"/>
    </x:row>
    <x:row r="21" ht="24" customHeight="1">
      <x:c r="A21" s="2" t="str">
        <x:v>Paying conversion assumed</x:v>
      </x:c>
      <x:c r="B21" s="14"/>
      <x:c r="C21" s="2" t="str">
        <x:v>Measured conversion or explicitly labeled hypothesis, 0 to 1.</x:v>
      </x:c>
      <x:c r="D21" s="2"/>
    </x:row>
    <x:row r="22" ht="24" customHeight="1">
      <x:c r="A22" s="2" t="str">
        <x:v>Monthly price (INR)</x:v>
      </x:c>
      <x:c r="B22" s="12"/>
      <x:c r="C22" s="2" t="str">
        <x:v>Tested price and interview/pilot evidence. Not selected today.</x:v>
      </x:c>
      <x:c r="D22" s="2"/>
    </x:row>
    <x:row r="23" ht="24" customHeight="1">
      <x:c r="A23" s="2" t="str">
        <x:v>Monthly cash costs (INR)</x:v>
      </x:c>
      <x:c r="B23" s="12"/>
      <x:c r="C23" s="2" t="str">
        <x:v>Hosting, delivery, license and other invoices for this period.</x:v>
      </x:c>
      <x:c r="D23" s="2"/>
    </x:row>
    <x:row r="24" ht="24" customHeight="1">
      <x:c r="A24" s="2" t="str">
        <x:v>Founder hourly value (INR)</x:v>
      </x:c>
      <x:c r="B24" s="12"/>
      <x:c r="C24" s="2" t="str">
        <x:v>Labor valuation assumption. Record actual minutes separately.</x:v>
      </x:c>
      <x:c r="D24" s="2"/>
    </x:row>
    <x:row r="25" ht="24" customHeight="1">
      <x:c r="A25" s="2" t="str">
        <x:v>Active retention assumption</x:v>
      </x:c>
      <x:c r="B25" s="15" t="str">
        <x:f>IF(CHOOSE($B$4,COUNT(B26),COUNT(B27))=0,"n.a.",CHOOSE($B$4,B26,B27))</x:f>
        <x:v>n.a.</x:v>
      </x:c>
      <x:c r="C25" s="2" t="str">
        <x:v>Selected from the two rows below.</x:v>
      </x:c>
      <x:c r="D25" s="2"/>
    </x:row>
    <x:row r="26" ht="24" customHeight="1">
      <x:c r="A26" s="2" t="str">
        <x:v>Base retention</x:v>
      </x:c>
      <x:c r="B26" s="14"/>
      <x:c r="C26" s="2" t="str">
        <x:v>Fraction returning meaningfully after a real release, 0 to 1.</x:v>
      </x:c>
      <x:c r="D26" s="2"/>
    </x:row>
    <x:row r="27" ht="24" customHeight="1">
      <x:c r="A27" s="2" t="str">
        <x:v>Downside retention</x:v>
      </x:c>
      <x:c r="B27" s="14"/>
      <x:c r="C27" s="2" t="str">
        <x:v>Lower retention hypothesis, 0 to 1.</x:v>
      </x:c>
      <x:c r="D27" s="2"/>
    </x:row>
    <x:row r="28" ht="24" customHeight="1">
      <x:c r="A28" s="2"/>
      <x:c r="B28" s="2"/>
      <x:c r="C28" s="2"/>
      <x:c r="D28" s="2"/>
    </x:row>
    <x:row r="29" ht="24" customHeight="1">
      <x:c r="A29" s="2" t="str">
        <x:v>Active maintenance hours</x:v>
      </x:c>
      <x:c r="B29" s="2" t="str">
        <x:f>IF(CHOOSE($B$4,COUNT(B30),COUNT(B31))=0,"n.a.",CHOOSE($B$4,B30,B31))</x:f>
        <x:v>n.a.</x:v>
      </x:c>
      <x:c r="C29" s="2" t="str">
        <x:v>Selected from the two rows below.</x:v>
      </x:c>
      <x:c r="D29" s="2"/>
    </x:row>
    <x:row r="30" ht="24" customHeight="1">
      <x:c r="A30" s="2" t="str">
        <x:v>Base maintenance hours</x:v>
      </x:c>
      <x:c r="B30" s="12"/>
      <x:c r="C30" s="2" t="str">
        <x:v>Review, repair, refresh and support for this period.</x:v>
      </x:c>
      <x:c r="D30" s="2"/>
    </x:row>
    <x:row r="31" ht="24" customHeight="1">
      <x:c r="A31" s="2" t="str">
        <x:v>Downside maintenance hours</x:v>
      </x:c>
      <x:c r="B31" s="12"/>
      <x:c r="C31" s="2" t="str">
        <x:v>Higher maintenance hypothesis for this period.</x:v>
      </x:c>
      <x:c r="D31" s="2"/>
    </x:row>
    <x:row r="32" ht="24" customHeight="1">
      <x:c r="A32" s="2"/>
      <x:c r="B32" s="2"/>
      <x:c r="C32" s="2"/>
      <x:c r="D32" s="2"/>
    </x:row>
    <x:row r="33" ht="24" customHeight="1">
      <x:c r="A33" s="2"/>
      <x:c r="B33" s="2"/>
      <x:c r="C33" s="2"/>
      <x:c r="D33" s="2"/>
    </x:row>
    <x:row r="34" ht="24" customHeight="1">
      <x:c r="A34" s="2"/>
      <x:c r="B34" s="2"/>
      <x:c r="C34" s="2"/>
      <x:c r="D34" s="2"/>
    </x:row>
    <x:row r="35" ht="24" customHeight="1">
      <x:c r="A35" s="2"/>
      <x:c r="B35" s="2"/>
      <x:c r="C35" s="2"/>
      <x:c r="D35" s="2"/>
    </x:row>
  </x:sheetData>
  <x:dataValidations count="3">
    <x:dataValidation type="list" sqref="B4">
      <x:formula1>"1,2"</x:formula1>
    </x:dataValidation>
    <x:dataValidation type="decimal" operator="between" sqref="B20:B21">
      <x:formula1>0</x:formula1>
      <x:formula2>1</x:formula2>
    </x:dataValidation>
    <x:dataValidation type="decimal" operator="between" sqref="B26:B27">
      <x:formula1>0</x:formula1>
      <x:formula2>1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4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40" hidden="0" customWidth="1"/>
    <x:col min="12" max="12" width="20" hidden="0" customWidth="1"/>
    <x:col min="13" max="13" width="2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4" customHeight="1">
      <x:c r="A2" s="3" t="str">
        <x:v>FindIt interviews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4" customHeight="1">
      <x:c r="A3" s="2" t="str">
        <x:v>No participant results entered. Use IDs and a private copy.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4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42" customHeight="1">
      <x:c r="A6" s="10" t="str">
        <x:v>Participant ID</x:v>
      </x:c>
      <x:c r="B6" s="10" t="str">
        <x:v>Date</x:v>
      </x:c>
      <x:c r="C6" s="10" t="str">
        <x:v>Role</x:v>
      </x:c>
      <x:c r="D6" s="10" t="str">
        <x:v>Relationship</x:v>
      </x:c>
      <x:c r="E6" s="10" t="str">
        <x:v>Recruitment channel</x:v>
      </x:c>
      <x:c r="F6" s="10" t="str">
        <x:v>Demonstrated recurring job</x:v>
      </x:c>
      <x:c r="G6" s="10" t="str">
        <x:v>Tasks / month</x:v>
      </x:c>
      <x:c r="H6" s="10" t="str">
        <x:v>Current alternative</x:v>
      </x:c>
      <x:c r="I6" s="10" t="str">
        <x:v>Baseline seconds</x:v>
      </x:c>
      <x:c r="J6" s="10" t="str">
        <x:v>Spend INR / month</x:v>
      </x:c>
      <x:c r="K6" s="10" t="str">
        <x:v>Objections / evidence</x:v>
      </x:c>
      <x:c r="L6" s="10" t="str">
        <x:v>Next release test</x:v>
      </x:c>
      <x:c r="M6" s="10" t="str">
        <x:v>Consent</x:v>
      </x:c>
    </x:row>
    <x:row r="7" ht="24" customHeight="1">
      <x:c r="A7" s="12"/>
      <x:c r="B7" s="19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</x:row>
    <x:row r="8" ht="24" customHeight="1">
      <x:c r="A8" s="12"/>
      <x:c r="B8" s="19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</x:row>
    <x:row r="9" ht="24" customHeight="1">
      <x:c r="A9" s="12"/>
      <x:c r="B9" s="19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</x:row>
    <x:row r="10" ht="24" customHeight="1">
      <x:c r="A10" s="12"/>
      <x:c r="B10" s="19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</x:row>
    <x:row r="11" ht="24" customHeight="1">
      <x:c r="A11" s="12"/>
      <x:c r="B11" s="19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</x:row>
    <x:row r="12" ht="24" customHeight="1">
      <x:c r="A12" s="12"/>
      <x:c r="B12" s="19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</x:row>
    <x:row r="13" ht="24" customHeight="1">
      <x:c r="A13" s="12"/>
      <x:c r="B13" s="19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</x:row>
    <x:row r="14" ht="24" customHeight="1">
      <x:c r="A14" s="12"/>
      <x:c r="B14" s="19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</x:row>
    <x:row r="15" ht="24" customHeight="1">
      <x:c r="A15" s="12"/>
      <x:c r="B15" s="19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</x:row>
    <x:row r="16" ht="24" customHeight="1">
      <x:c r="A16" s="12"/>
      <x:c r="B16" s="19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</x:row>
    <x:row r="17" ht="24" customHeight="1">
      <x:c r="A17" s="12"/>
      <x:c r="B17" s="19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</x:row>
    <x:row r="18" ht="24" customHeight="1">
      <x:c r="A18" s="12"/>
      <x:c r="B18" s="19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</x:row>
    <x:row r="19" ht="24" customHeight="1">
      <x:c r="A19" s="12"/>
      <x:c r="B19" s="19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</x:row>
    <x:row r="20" ht="24" customHeight="1">
      <x:c r="A20" s="12"/>
      <x:c r="B20" s="19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</x:row>
    <x:row r="21" ht="24" customHeight="1">
      <x:c r="A21" s="12"/>
      <x:c r="B21" s="19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</x:row>
  </x:sheetData>
  <x:dataValidations count="1">
    <x:dataValidation type="list" sqref="L7:M21">
      <x:formula1>"yes,no,pending"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0" hidden="0" customWidth="1"/>
    <x:col min="2" max="2" width="28" hidden="0" customWidth="1"/>
    <x:col min="3" max="3" width="20" hidden="0" customWidth="1"/>
    <x:col min="4" max="4" width="20" hidden="0" customWidth="1"/>
    <x:col min="5" max="5" width="32" hidden="0" customWidth="1"/>
    <x:col min="6" max="6" width="20" hidden="0" customWidth="1"/>
    <x:col min="7" max="7" width="20" hidden="0" customWidth="1"/>
    <x:col min="8" max="8" width="20" hidden="0" customWidth="1"/>
    <x:col min="9" max="9" width="38" hidden="0" customWidth="1"/>
    <x:col min="10" max="10" width="3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3" t="str">
        <x:v>FindIt tasks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2" t="str">
        <x:v>Five unassisted sessions. Record each task separately. No outcomes entered.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4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42" customHeight="1">
      <x:c r="A6" s="10" t="str">
        <x:v>Participant ID</x:v>
      </x:c>
      <x:c r="B6" s="10" t="str">
        <x:v>Real release ID</x:v>
      </x:c>
      <x:c r="C6" s="10" t="str">
        <x:v>Task</x:v>
      </x:c>
      <x:c r="D6" s="10" t="str">
        <x:v>Tool / version</x:v>
      </x:c>
      <x:c r="E6" s="10" t="str">
        <x:v>Matched scope</x:v>
      </x:c>
      <x:c r="F6" s="10" t="str">
        <x:v>Completion</x:v>
      </x:c>
      <x:c r="G6" s="10" t="str">
        <x:v>Seconds</x:v>
      </x:c>
      <x:c r="H6" s="10" t="str">
        <x:v>Help requested</x:v>
      </x:c>
      <x:c r="I6" s="10" t="str">
        <x:v>Interpretation mistakes</x:v>
      </x:c>
      <x:c r="J6" s="10" t="str">
        <x:v>Evidence reference</x:v>
      </x:c>
    </x:row>
    <x:row r="7" ht="24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</x:row>
    <x:row r="8" ht="24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</x:row>
    <x:row r="9" ht="24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</x:row>
    <x:row r="10" ht="24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</x:row>
    <x:row r="11" ht="24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</x:row>
    <x:row r="12" ht="24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 ht="24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 ht="24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 ht="24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 ht="24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</x:row>
    <x:row r="17" ht="24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</x:row>
    <x:row r="18" ht="24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</x:row>
    <x:row r="19" ht="24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</x:row>
    <x:row r="20" ht="24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</x:row>
    <x:row r="21" ht="24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</x:row>
    <x:row r="22" ht="24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</x:row>
    <x:row r="23" ht="24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</x:row>
    <x:row r="24" ht="24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</x:row>
    <x:row r="25" ht="24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</x:row>
    <x:row r="26" ht="24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</x:row>
    <x:row r="27" ht="24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</x:row>
    <x:row r="28" ht="24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</x:row>
    <x:row r="29" ht="24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</x:row>
    <x:row r="30" ht="24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</x:row>
    <x:row r="31" ht="24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</x:row>
  </x:sheetData>
  <x:dataValidations count="1">
    <x:dataValidation type="list" sqref="F7:F31">
      <x:formula1>"unassisted,assisted,failed,not tested"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4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8" hidden="0" customWidth="1"/>
    <x:col min="7" max="7" width="20" hidden="0" customWidth="1"/>
    <x:col min="8" max="8" width="28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38" hidden="0" customWidth="1"/>
    <x:col min="15" max="15" width="24" hidden="0" customWidth="1"/>
    <x:col min="16" max="16" width="24" hidden="0" customWidth="1"/>
    <x:col min="17" max="17" width="24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3" t="str">
        <x:v>FindIt pilot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2" t="str">
        <x:v>Targets: 10 enrolled, 7 activated, 5 returns each real release, 3 independent payers, 2 renewals.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4" t="str">
        <x:v>R1 and R2 are subsequent actual publications. Replay, staff and notification opens are excluded.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42" customHeight="1">
      <x:c r="A6" s="10" t="str">
        <x:v>Participant ID</x:v>
      </x:c>
      <x:c r="B6" s="10" t="str">
        <x:v>Group</x:v>
      </x:c>
      <x:c r="C6" s="10" t="str">
        <x:v>Discounted</x:v>
      </x:c>
      <x:c r="D6" s="10" t="str">
        <x:v>Consent</x:v>
      </x:c>
      <x:c r="E6" s="10" t="str">
        <x:v>Activated</x:v>
      </x:c>
      <x:c r="F6" s="10" t="str">
        <x:v>R1 real release ID</x:v>
      </x:c>
      <x:c r="G6" s="10" t="str">
        <x:v>R1 meaningful return</x:v>
      </x:c>
      <x:c r="H6" s="10" t="str">
        <x:v>R2 real release ID</x:v>
      </x:c>
      <x:c r="I6" s="10" t="str">
        <x:v>R2 meaningful return</x:v>
      </x:c>
      <x:c r="J6" s="10" t="str">
        <x:v>Initial settled INR</x:v>
      </x:c>
      <x:c r="K6" s="10" t="str">
        <x:v>Receipt reference</x:v>
      </x:c>
      <x:c r="L6" s="10" t="str">
        <x:v>Refund INR</x:v>
      </x:c>
      <x:c r="M6" s="10" t="str">
        <x:v>Settled renewal count</x:v>
      </x:c>
      <x:c r="N6" s="10" t="str">
        <x:v>Cancel / decline reason</x:v>
      </x:c>
      <x:c r="O6" s="10" t="str">
        <x:v>Rows with this ID</x:v>
      </x:c>
      <x:c r="P6" s="10" t="str">
        <x:v>Net initial settled INR</x:v>
      </x:c>
      <x:c r="Q6" s="10" t="str">
        <x:v>Renewal receipt reference</x:v>
      </x:c>
    </x:row>
    <x:row r="7" ht="24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t="str">
        <x:f>IF(A7="","",COUNTIFS($A$7:$A$16,A7))</x:f>
      </x:c>
      <x:c r="P7" t="str">
        <x:f>IF(COUNT(J7,L7)=2,J7-L7,"n.a.")</x:f>
        <x:v>n.a.</x:v>
      </x:c>
      <x:c r="Q7" s="25"/>
    </x:row>
    <x:row r="8" ht="24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t="str">
        <x:f>IF(A8="","",COUNTIFS($A$7:$A$16,A8))</x:f>
      </x:c>
      <x:c r="P8" t="str">
        <x:f>IF(COUNT(J8,L8)=2,J8-L8,"n.a.")</x:f>
        <x:v>n.a.</x:v>
      </x:c>
      <x:c r="Q8" s="25"/>
    </x:row>
    <x:row r="9" ht="24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t="str">
        <x:f>IF(A9="","",COUNTIFS($A$7:$A$16,A9))</x:f>
      </x:c>
      <x:c r="P9" t="str">
        <x:f>IF(COUNT(J9,L9)=2,J9-L9,"n.a.")</x:f>
        <x:v>n.a.</x:v>
      </x:c>
      <x:c r="Q9" s="25"/>
    </x:row>
    <x:row r="10" ht="24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t="str">
        <x:f>IF(A10="","",COUNTIFS($A$7:$A$16,A10))</x:f>
      </x:c>
      <x:c r="P10" t="str">
        <x:f>IF(COUNT(J10,L10)=2,J10-L10,"n.a.")</x:f>
        <x:v>n.a.</x:v>
      </x:c>
      <x:c r="Q10" s="25"/>
    </x:row>
    <x:row r="11" ht="24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t="str">
        <x:f>IF(A11="","",COUNTIFS($A$7:$A$16,A11))</x:f>
      </x:c>
      <x:c r="P11" t="str">
        <x:f>IF(COUNT(J11,L11)=2,J11-L11,"n.a.")</x:f>
        <x:v>n.a.</x:v>
      </x:c>
      <x:c r="Q11" s="25"/>
    </x:row>
    <x:row r="12" ht="24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t="str">
        <x:f>IF(A12="","",COUNTIFS($A$7:$A$16,A12))</x:f>
      </x:c>
      <x:c r="P12" t="str">
        <x:f>IF(COUNT(J12,L12)=2,J12-L12,"n.a.")</x:f>
        <x:v>n.a.</x:v>
      </x:c>
      <x:c r="Q12" s="25"/>
    </x:row>
    <x:row r="13" ht="24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t="str">
        <x:f>IF(A13="","",COUNTIFS($A$7:$A$16,A13))</x:f>
      </x:c>
      <x:c r="P13" t="str">
        <x:f>IF(COUNT(J13,L13)=2,J13-L13,"n.a.")</x:f>
        <x:v>n.a.</x:v>
      </x:c>
      <x:c r="Q13" s="25"/>
    </x:row>
    <x:row r="14" ht="24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t="str">
        <x:f>IF(A14="","",COUNTIFS($A$7:$A$16,A14))</x:f>
      </x:c>
      <x:c r="P14" t="str">
        <x:f>IF(COUNT(J14,L14)=2,J14-L14,"n.a.")</x:f>
        <x:v>n.a.</x:v>
      </x:c>
      <x:c r="Q14" s="25"/>
    </x:row>
    <x:row r="15" ht="24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t="str">
        <x:f>IF(A15="","",COUNTIFS($A$7:$A$16,A15))</x:f>
      </x:c>
      <x:c r="P15" t="str">
        <x:f>IF(COUNT(J15,L15)=2,J15-L15,"n.a.")</x:f>
        <x:v>n.a.</x:v>
      </x:c>
      <x:c r="Q15" s="25"/>
    </x:row>
    <x:row r="16" ht="24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t="str">
        <x:f>IF(A16="","",COUNTIFS($A$7:$A$16,A16))</x:f>
      </x:c>
      <x:c r="P16" t="str">
        <x:f>IF(COUNT(J16,L16)=2,J16-L16,"n.a.")</x:f>
        <x:v>n.a.</x:v>
      </x:c>
      <x:c r="Q16" s="25"/>
    </x:row>
    <x:row r="19" ht="42" customHeight="1">
      <x:c r="A19" s="10" t="str">
        <x:v>Observed metric</x:v>
      </x:c>
      <x:c r="B19" s="10" t="str">
        <x:v>Count</x:v>
      </x:c>
    </x:row>
    <x:row r="20">
      <x:c r="A20" t="str">
        <x:v>Enrolled real participants</x:v>
      </x:c>
      <x:c r="B20" s="26" t="str">
        <x:f>IF(COUNTIFS(O7:O16,"&gt;1")&gt;0,"duplicate IDs",IF(COUNTA(A7:A16)=0,"n.a.",COUNTIFS(B7:B16,"independent",A7:A16,"&lt;&gt;")+COUNTIFS(B7:B16,"related",A7:A16,"&lt;&gt;")))</x:f>
        <x:v>n.a.</x:v>
      </x:c>
    </x:row>
    <x:row r="21">
      <x:c r="A21" t="str">
        <x:v>Activated real participants</x:v>
      </x:c>
      <x:c r="B21" s="26" t="str">
        <x:f>IF(COUNTIFS(O7:O16,"&gt;1")&gt;0,"duplicate IDs",IF(COUNTA(A7:A16)=0,"n.a.",COUNTIFS(B7:B16,"independent",D7:D16,"yes",E7:E16,"yes",A7:A16,"&lt;&gt;")+COUNTIFS(B7:B16,"related",D7:D16,"yes",E7:E16,"yes",A7:A16,"&lt;&gt;")))</x:f>
        <x:v>n.a.</x:v>
      </x:c>
    </x:row>
    <x:row r="22">
      <x:c r="A22" t="str">
        <x:v>R1 meaningful returns</x:v>
      </x:c>
      <x:c r="B22" s="26" t="str">
        <x:f>IF(COUNTIFS(O7:O16,"&gt;1")&gt;0,"duplicate IDs",IF(COUNTA(A7:A16)=0,"n.a.",COUNTIFS(B7:B16,"independent",D7:D16,"yes",G7:G16,"yes",A7:A16,"&lt;&gt;",F7:F16,"&lt;&gt;")+COUNTIFS(B7:B16,"related",D7:D16,"yes",G7:G16,"yes",A7:A16,"&lt;&gt;",F7:F16,"&lt;&gt;")))</x:f>
        <x:v>n.a.</x:v>
      </x:c>
    </x:row>
    <x:row r="23">
      <x:c r="A23" t="str">
        <x:v>R2 meaningful returns</x:v>
      </x:c>
      <x:c r="B23" s="26" t="str">
        <x:f>IF(COUNTIFS(O7:O16,"&gt;1")&gt;0,"duplicate IDs",IF(COUNTA(A7:A16)=0,"n.a.",COUNTIFS(B7:B16,"independent",D7:D16,"yes",I7:I16,"yes",A7:A16,"&lt;&gt;",H7:H16,"&lt;&gt;")+COUNTIFS(B7:B16,"related",D7:D16,"yes",I7:I16,"yes",A7:A16,"&lt;&gt;",H7:H16,"&lt;&gt;")))</x:f>
        <x:v>n.a.</x:v>
      </x:c>
    </x:row>
    <x:row r="24">
      <x:c r="A24" t="str">
        <x:v>Independent non-discounted settled payers</x:v>
      </x:c>
      <x:c r="B24" s="26" t="str">
        <x:f>IF(COUNTIFS(O7:O16,"&gt;1")&gt;0,"duplicate IDs",IF(COUNTA(A7:A16)=0,"n.a.",COUNTIFS(B7:B16,"independent",C7:C16,"no",P7:P16,"&gt;0",K7:K16,"&lt;&gt;",A7:A16,"&lt;&gt;")))</x:f>
        <x:v>n.a.</x:v>
      </x:c>
    </x:row>
    <x:row r="25">
      <x:c r="A25" t="str">
        <x:v>Independent non-discounted customers renewed</x:v>
      </x:c>
      <x:c r="B25" s="26" t="str">
        <x:f>IF(COUNTIFS(O7:O16,"&gt;1")&gt;0,"duplicate IDs",IF(COUNTA(A7:A16)=0,"n.a.",COUNTIFS(B7:B16,"independent",C7:C16,"no",M7:M16,"&gt;0",Q7:Q16,"&lt;&gt;",A7:A16,"&lt;&gt;")))</x:f>
        <x:v>n.a.</x:v>
      </x:c>
    </x:row>
    <x:row r="27">
      <x:c r="A27" t="str">
        <x:v>One row per participant. Renewals require separate settled receipt evidence. Refunds remain separate.</x:v>
      </x:c>
    </x:row>
  </x:sheetData>
  <x:dataValidations count="4">
    <x:dataValidation type="list" sqref="B7:B16">
      <x:formula1>"independent,related,staff,test"</x:formula1>
    </x:dataValidation>
    <x:dataValidation type="list" sqref="C7:E16">
      <x:formula1>"yes,no,pending"</x:formula1>
    </x:dataValidation>
    <x:dataValidation type="list" sqref="G7:G16">
      <x:formula1>"yes,no,pending"</x:formula1>
    </x:dataValidation>
    <x:dataValidation type="list" sqref="I7:I16">
      <x:formula1>"yes,no,pending"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46" hidden="0" customWidth="1"/>
    <x:col min="9" max="9" width="3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3" t="str">
        <x:v>FindIt operations</x:v>
      </x:c>
      <x:c r="B2" s="2"/>
      <x:c r="C2" s="2"/>
      <x:c r="D2" s="2"/>
      <x:c r="E2" s="2"/>
      <x:c r="F2" s="2"/>
      <x:c r="G2" s="2"/>
      <x:c r="H2" s="2"/>
      <x:c r="I2" s="2"/>
    </x:row>
    <x:row r="3" ht="24" customHeight="1">
      <x:c r="A3" s="2" t="str">
        <x:v>Machine timings measured on 1 October 2026. Cash, labor and actual publication delay remain unknown.</x:v>
      </x:c>
      <x:c r="B3" s="2"/>
      <x:c r="C3" s="2"/>
      <x:c r="D3" s="2"/>
      <x:c r="E3" s="2"/>
      <x:c r="F3" s="2"/>
      <x:c r="G3" s="2"/>
      <x:c r="H3" s="2"/>
      <x:c r="I3" s="2"/>
    </x:row>
    <x:row r="4" ht="24" customHeight="1">
      <x:c r="A4" s="4"/>
      <x:c r="B4" s="4"/>
      <x:c r="C4" s="4"/>
      <x:c r="D4" s="4"/>
      <x:c r="E4" s="4"/>
      <x:c r="F4" s="4"/>
      <x:c r="G4" s="4"/>
      <x:c r="H4" s="4"/>
      <x:c r="I4" s="4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42" customHeight="1">
      <x:c r="A6" s="10" t="str">
        <x:v>Report month</x:v>
      </x:c>
      <x:c r="B6" s="10" t="str">
        <x:v>Acquisition seconds</x:v>
      </x:c>
      <x:c r="C6" s="10" t="str">
        <x:v>Processing seconds</x:v>
      </x:c>
      <x:c r="D6" s="10" t="str">
        <x:v>Cash INR</x:v>
      </x:c>
      <x:c r="E6" s="10" t="str">
        <x:v>Founder minutes</x:v>
      </x:c>
      <x:c r="F6" s="10" t="str">
        <x:v>Support minutes</x:v>
      </x:c>
      <x:c r="G6" s="10" t="str">
        <x:v>Publication delay hours</x:v>
      </x:c>
      <x:c r="H6" s="10" t="str">
        <x:v>Source record</x:v>
      </x:c>
      <x:c r="I6" s="10" t="str">
        <x:v>Scope / outcome</x:v>
      </x:c>
    </x:row>
    <x:row r="7" ht="24" customHeight="1">
      <x:c r="A7" s="13" t="n">
        <x:v>46054</x:v>
      </x:c>
      <x:c r="B7" s="27" t="n">
        <x:v>7.706964249999146</x:v>
      </x:c>
      <x:c r="C7" s="27" t="n">
        <x:v>1.5225089169980492</x:v>
      </x:c>
      <x:c r="D7" s="27"/>
      <x:c r="E7" s="27"/>
      <x:c r="F7" s="27"/>
      <x:c r="G7" s="27"/>
      <x:c r="H7" s="12" t="str">
        <x:v>history-processing.json; history-acquisition.json</x:v>
      </x:c>
      <x:c r="I7" s="12" t="str">
        <x:v>Franklin; completed</x:v>
      </x:c>
    </x:row>
    <x:row r="8" ht="24" customHeight="1">
      <x:c r="A8" s="13" t="n">
        <x:v>46082</x:v>
      </x:c>
      <x:c r="B8" s="27" t="n">
        <x:v>5.013394749999861</x:v>
      </x:c>
      <x:c r="C8" s="27" t="n">
        <x:v>1.9328232500047307</x:v>
      </x:c>
      <x:c r="D8" s="27"/>
      <x:c r="E8" s="27"/>
      <x:c r="F8" s="27"/>
      <x:c r="G8" s="27"/>
      <x:c r="H8" s="12" t="str">
        <x:v>history-processing.json; history-acquisition.json</x:v>
      </x:c>
      <x:c r="I8" s="12" t="str">
        <x:v>Franklin; completed</x:v>
      </x:c>
    </x:row>
    <x:row r="9" ht="24" customHeight="1">
      <x:c r="A9" s="13" t="n">
        <x:v>46113</x:v>
      </x:c>
      <x:c r="B9" s="27" t="n">
        <x:v>4.558033167006215</x:v>
      </x:c>
      <x:c r="C9" s="27" t="n">
        <x:v>1.671363499997824</x:v>
      </x:c>
      <x:c r="D9" s="27"/>
      <x:c r="E9" s="27"/>
      <x:c r="F9" s="27"/>
      <x:c r="G9" s="27"/>
      <x:c r="H9" s="12" t="str">
        <x:v>history-processing.json; history-acquisition.json</x:v>
      </x:c>
      <x:c r="I9" s="12" t="str">
        <x:v>Franklin; completed</x:v>
      </x:c>
    </x:row>
    <x:row r="10" ht="24" customHeight="1">
      <x:c r="A10" s="13" t="n">
        <x:v>46143</x:v>
      </x:c>
      <x:c r="B10" s="27" t="n">
        <x:v>3.495172167000419</x:v>
      </x:c>
      <x:c r="C10" s="27" t="n">
        <x:v>1.9152057920000516</x:v>
      </x:c>
      <x:c r="D10" s="27"/>
      <x:c r="E10" s="27"/>
      <x:c r="F10" s="27"/>
      <x:c r="G10" s="27"/>
      <x:c r="H10" s="12" t="str">
        <x:v>history-processing.json; history-acquisition.json</x:v>
      </x:c>
      <x:c r="I10" s="12" t="str">
        <x:v>Franklin; completed</x:v>
      </x:c>
    </x:row>
    <x:row r="11" ht="24" customHeight="1">
      <x:c r="A11" s="13" t="n">
        <x:v>46174</x:v>
      </x:c>
      <x:c r="B11" s="27" t="n">
        <x:v>2.1013605420012027</x:v>
      </x:c>
      <x:c r="C11" s="27" t="n">
        <x:v>1.7568647090010927</x:v>
      </x:c>
      <x:c r="D11" s="27"/>
      <x:c r="E11" s="27"/>
      <x:c r="F11" s="27"/>
      <x:c r="G11" s="27"/>
      <x:c r="H11" s="12" t="str">
        <x:v>history-processing.json; history-acquisition.json</x:v>
      </x:c>
      <x:c r="I11" s="12" t="str">
        <x:v>Franklin; completed</x:v>
      </x:c>
    </x:row>
    <x:row r="12" ht="24" customHeight="1">
      <x:c r="A12" s="13" t="n">
        <x:v>46204</x:v>
      </x:c>
      <x:c r="B12" s="27"/>
      <x:c r="C12" s="27" t="n">
        <x:v>10.846697875000245</x:v>
      </x:c>
      <x:c r="D12" s="27"/>
      <x:c r="E12" s="27"/>
      <x:c r="F12" s="27"/>
      <x:c r="G12" s="27"/>
      <x:c r="H12" s="12" t="str">
        <x:v>history-processing.json; history-acquisition.json</x:v>
      </x:c>
      <x:c r="I12" s="12" t="str">
        <x:v>Multiple houses; completed</x:v>
      </x:c>
    </x:row>
    <x:row r="13" ht="24" customHeight="1">
      <x:c r="A13" s="13" t="n">
        <x:v>46235</x:v>
      </x:c>
      <x:c r="B13" s="27"/>
      <x:c r="C13" s="27" t="n">
        <x:v>11.079440791996603</x:v>
      </x:c>
      <x:c r="D13" s="27"/>
      <x:c r="E13" s="27"/>
      <x:c r="F13" s="27"/>
      <x:c r="G13" s="27"/>
      <x:c r="H13" s="12" t="str">
        <x:v>history-processing.json; history-acquisition.json</x:v>
      </x:c>
      <x:c r="I13" s="12" t="str">
        <x:v>Multiple houses; completed</x:v>
      </x:c>
    </x:row>
    <x:row r="14" ht="24" customHeight="1">
      <x:c r="A14" s="13"/>
      <x:c r="B14" s="27"/>
      <x:c r="C14" s="27"/>
      <x:c r="D14" s="27"/>
      <x:c r="E14" s="27"/>
      <x:c r="F14" s="27"/>
      <x:c r="G14" s="27"/>
      <x:c r="H14" s="12"/>
      <x:c r="I14" s="12"/>
    </x:row>
    <x:row r="15" ht="24" customHeight="1">
      <x:c r="A15" s="13"/>
      <x:c r="B15" s="27"/>
      <x:c r="C15" s="27"/>
      <x:c r="D15" s="27"/>
      <x:c r="E15" s="27"/>
      <x:c r="F15" s="27"/>
      <x:c r="G15" s="27"/>
      <x:c r="H15" s="12"/>
      <x:c r="I15" s="12"/>
    </x:row>
    <x:row r="16" ht="24" customHeight="1">
      <x:c r="A16" s="13"/>
      <x:c r="B16" s="27"/>
      <x:c r="C16" s="27"/>
      <x:c r="D16" s="27"/>
      <x:c r="E16" s="27"/>
      <x:c r="F16" s="27"/>
      <x:c r="G16" s="27"/>
      <x:c r="H16" s="12"/>
      <x:c r="I16" s="12"/>
    </x:row>
    <x:row r="17" ht="24" customHeight="1">
      <x:c r="A17" s="13"/>
      <x:c r="B17" s="27"/>
      <x:c r="C17" s="27"/>
      <x:c r="D17" s="27"/>
      <x:c r="E17" s="27"/>
      <x:c r="F17" s="27"/>
      <x:c r="G17" s="27"/>
      <x:c r="H17" s="12"/>
      <x:c r="I17" s="12"/>
    </x:row>
    <x:row r="18" ht="24" customHeight="1">
      <x:c r="A18" s="13"/>
      <x:c r="B18" s="27"/>
      <x:c r="C18" s="27"/>
      <x:c r="D18" s="27"/>
      <x:c r="E18" s="27"/>
      <x:c r="F18" s="27"/>
      <x:c r="G18" s="27"/>
      <x:c r="H18" s="12"/>
      <x:c r="I18" s="12"/>
    </x:row>
    <x:row r="19" ht="24" customHeight="1">
      <x:c r="A19" s="13"/>
      <x:c r="B19" s="27"/>
      <x:c r="C19" s="27"/>
      <x:c r="D19" s="27"/>
      <x:c r="E19" s="27"/>
      <x:c r="F19" s="27"/>
      <x:c r="G19" s="27"/>
      <x:c r="H19" s="12"/>
      <x:c r="I19" s="12"/>
    </x:row>
    <x:row r="20" ht="24" customHeight="1">
      <x:c r="A20" s="13"/>
      <x:c r="B20" s="27"/>
      <x:c r="C20" s="27"/>
      <x:c r="D20" s="27"/>
      <x:c r="E20" s="27"/>
      <x:c r="F20" s="27"/>
      <x:c r="G20" s="27"/>
      <x:c r="H20" s="12"/>
      <x:c r="I20" s="1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38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3" t="str">
        <x:v>FindIt channels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2" t="str">
        <x:v>Two channels selected after interviews. No outreach or measured conversions entered.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4" customHeight="1">
      <x:c r="A4" s="4" t="str">
        <x:v>Use unique qualified people in the same dated cohort. Record consent privately; exclude page views and staff.</x:v>
      </x:c>
      <x:c r="B4" s="4"/>
      <x:c r="C4" s="4"/>
      <x:c r="D4" s="4"/>
      <x:c r="E4" s="4"/>
      <x:c r="F4" s="4"/>
      <x:c r="G4" s="4"/>
      <x:c r="H4" s="4"/>
      <x:c r="I4" s="4"/>
      <x:c r="J4" s="4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42" customHeight="1">
      <x:c r="A6" s="10" t="str">
        <x:v>Cohort month</x:v>
      </x:c>
      <x:c r="B6" s="10" t="str">
        <x:v>Channel</x:v>
      </x:c>
      <x:c r="C6" s="10" t="str">
        <x:v>Qualified contacted</x:v>
      </x:c>
      <x:c r="D6" s="10" t="str">
        <x:v>Enrolled</x:v>
      </x:c>
      <x:c r="E6" s="10" t="str">
        <x:v>Activated</x:v>
      </x:c>
      <x:c r="F6" s="10" t="str">
        <x:v>Independent payers</x:v>
      </x:c>
      <x:c r="G6" s="10" t="str">
        <x:v>Cash INR</x:v>
      </x:c>
      <x:c r="H6" s="10" t="str">
        <x:v>Founder minutes</x:v>
      </x:c>
      <x:c r="I6" s="10" t="str">
        <x:v>Founder hourly INR</x:v>
      </x:c>
      <x:c r="J6" s="10" t="str">
        <x:v>Evidence reference</x:v>
      </x:c>
      <x:c r="K6" s="10" t="str">
        <x:v>Activation / enrolled</x:v>
      </x:c>
      <x:c r="L6" s="10" t="str">
        <x:v>Payers / qualified</x:v>
      </x:c>
      <x:c r="M6" s="10" t="str">
        <x:v>Cash / payer INR</x:v>
      </x:c>
      <x:c r="N6" s="10" t="str">
        <x:v>Founder labor INR</x:v>
      </x:c>
      <x:c r="O6" s="10" t="str">
        <x:v>Total / payer INR</x:v>
      </x:c>
      <x:c r="P6" s="10" t="str">
        <x:v>Funnel check</x:v>
      </x:c>
    </x:row>
    <x:row r="7" ht="24" customHeight="1">
      <x:c r="A7" s="13"/>
      <x:c r="B7" s="12"/>
      <x:c r="C7" s="12"/>
      <x:c r="D7" s="12"/>
      <x:c r="E7" s="12"/>
      <x:c r="F7" s="12"/>
      <x:c r="G7" s="12"/>
      <x:c r="H7" s="12"/>
      <x:c r="I7" s="12"/>
      <x:c r="J7" s="12"/>
      <x:c r="K7" s="28" t="str">
        <x:f>IF(AND(COUNT(D7,E7)=2,D7&gt;0),E7/D7,"n.a.")</x:f>
        <x:v>n.a.</x:v>
      </x:c>
      <x:c r="L7" s="28" t="str">
        <x:f>IF(AND(COUNT(C7,F7)=2,C7&gt;0),F7/C7,"n.a.")</x:f>
        <x:v>n.a.</x:v>
      </x:c>
      <x:c r="M7" s="29" t="str">
        <x:f>IF(AND(COUNT(G7,F7)=2,F7&gt;0),G7/F7,"n.a.")</x:f>
        <x:v>n.a.</x:v>
      </x:c>
      <x:c r="N7" s="29" t="str">
        <x:f>IF(COUNT(H7,I7)=2,H7*I7/60,"n.a.")</x:f>
        <x:v>n.a.</x:v>
      </x:c>
      <x:c r="O7" s="29" t="str">
        <x:f>IF(AND(COUNT(G7,N7,F7)=3,F7&gt;0),(G7+N7)/F7,"n.a.")</x:f>
        <x:v>n.a.</x:v>
      </x:c>
      <x:c r="P7" t="str">
        <x:f>IF(COUNT(C7:F7)&lt;4,"n.a.",IF(AND(C7&gt;=D7,D7&gt;=E7,E7&gt;=F7),"Check cohort evidence","Check inconsistent counts"))</x:f>
        <x:v>n.a.</x:v>
      </x:c>
    </x:row>
    <x:row r="8" ht="24" customHeight="1">
      <x:c r="A8" s="13"/>
      <x:c r="B8" s="12"/>
      <x:c r="C8" s="12"/>
      <x:c r="D8" s="12"/>
      <x:c r="E8" s="12"/>
      <x:c r="F8" s="12"/>
      <x:c r="G8" s="12"/>
      <x:c r="H8" s="12"/>
      <x:c r="I8" s="12"/>
      <x:c r="J8" s="12"/>
      <x:c r="K8" s="28" t="str">
        <x:f>IF(AND(COUNT(D8,E8)=2,D8&gt;0),E8/D8,"n.a.")</x:f>
        <x:v>n.a.</x:v>
      </x:c>
      <x:c r="L8" s="28" t="str">
        <x:f>IF(AND(COUNT(C8,F8)=2,C8&gt;0),F8/C8,"n.a.")</x:f>
        <x:v>n.a.</x:v>
      </x:c>
      <x:c r="M8" s="29" t="str">
        <x:f>IF(AND(COUNT(G8,F8)=2,F8&gt;0),G8/F8,"n.a.")</x:f>
        <x:v>n.a.</x:v>
      </x:c>
      <x:c r="N8" s="29" t="str">
        <x:f>IF(COUNT(H8,I8)=2,H8*I8/60,"n.a.")</x:f>
        <x:v>n.a.</x:v>
      </x:c>
      <x:c r="O8" s="29" t="str">
        <x:f>IF(AND(COUNT(G8,N8,F8)=3,F8&gt;0),(G8+N8)/F8,"n.a.")</x:f>
        <x:v>n.a.</x:v>
      </x:c>
      <x:c r="P8" t="str">
        <x:f>IF(COUNT(C8:F8)&lt;4,"n.a.",IF(AND(C8&gt;=D8,D8&gt;=E8,E8&gt;=F8),"Check cohort evidence","Check inconsistent counts"))</x:f>
        <x:v>n.a.</x:v>
      </x:c>
    </x:row>
    <x:row r="9" ht="24" customHeight="1">
      <x:c r="A9" s="13"/>
      <x:c r="B9" s="12"/>
      <x:c r="C9" s="12"/>
      <x:c r="D9" s="12"/>
      <x:c r="E9" s="12"/>
      <x:c r="F9" s="12"/>
      <x:c r="G9" s="12"/>
      <x:c r="H9" s="12"/>
      <x:c r="I9" s="12"/>
      <x:c r="J9" s="12"/>
      <x:c r="K9" s="28" t="str">
        <x:f>IF(AND(COUNT(D9,E9)=2,D9&gt;0),E9/D9,"n.a.")</x:f>
        <x:v>n.a.</x:v>
      </x:c>
      <x:c r="L9" s="28" t="str">
        <x:f>IF(AND(COUNT(C9,F9)=2,C9&gt;0),F9/C9,"n.a.")</x:f>
        <x:v>n.a.</x:v>
      </x:c>
      <x:c r="M9" s="29" t="str">
        <x:f>IF(AND(COUNT(G9,F9)=2,F9&gt;0),G9/F9,"n.a.")</x:f>
        <x:v>n.a.</x:v>
      </x:c>
      <x:c r="N9" s="29" t="str">
        <x:f>IF(COUNT(H9,I9)=2,H9*I9/60,"n.a.")</x:f>
        <x:v>n.a.</x:v>
      </x:c>
      <x:c r="O9" s="29" t="str">
        <x:f>IF(AND(COUNT(G9,N9,F9)=3,F9&gt;0),(G9+N9)/F9,"n.a.")</x:f>
        <x:v>n.a.</x:v>
      </x:c>
      <x:c r="P9" t="str">
        <x:f>IF(COUNT(C9:F9)&lt;4,"n.a.",IF(AND(C9&gt;=D9,D9&gt;=E9,E9&gt;=F9),"Check cohort evidence","Check inconsistent counts"))</x:f>
        <x:v>n.a.</x:v>
      </x:c>
    </x:row>
    <x:row r="10" ht="24" customHeight="1">
      <x:c r="A10" s="13"/>
      <x:c r="B10" s="12"/>
      <x:c r="C10" s="12"/>
      <x:c r="D10" s="12"/>
      <x:c r="E10" s="12"/>
      <x:c r="F10" s="12"/>
      <x:c r="G10" s="12"/>
      <x:c r="H10" s="12"/>
      <x:c r="I10" s="12"/>
      <x:c r="J10" s="12"/>
      <x:c r="K10" s="28" t="str">
        <x:f>IF(AND(COUNT(D10,E10)=2,D10&gt;0),E10/D10,"n.a.")</x:f>
        <x:v>n.a.</x:v>
      </x:c>
      <x:c r="L10" s="28" t="str">
        <x:f>IF(AND(COUNT(C10,F10)=2,C10&gt;0),F10/C10,"n.a.")</x:f>
        <x:v>n.a.</x:v>
      </x:c>
      <x:c r="M10" s="29" t="str">
        <x:f>IF(AND(COUNT(G10,F10)=2,F10&gt;0),G10/F10,"n.a.")</x:f>
        <x:v>n.a.</x:v>
      </x:c>
      <x:c r="N10" s="29" t="str">
        <x:f>IF(COUNT(H10,I10)=2,H10*I10/60,"n.a.")</x:f>
        <x:v>n.a.</x:v>
      </x:c>
      <x:c r="O10" s="29" t="str">
        <x:f>IF(AND(COUNT(G10,N10,F10)=3,F10&gt;0),(G10+N10)/F10,"n.a.")</x:f>
        <x:v>n.a.</x:v>
      </x:c>
      <x:c r="P10" t="str">
        <x:f>IF(COUNT(C10:F10)&lt;4,"n.a.",IF(AND(C10&gt;=D10,D10&gt;=E10,E10&gt;=F10),"Check cohort evidence","Check inconsistent counts"))</x:f>
        <x:v>n.a.</x:v>
      </x:c>
    </x:row>
    <x:row r="11" ht="24" customHeight="1">
      <x:c r="A11" s="13"/>
      <x:c r="B11" s="12"/>
      <x:c r="C11" s="12"/>
      <x:c r="D11" s="12"/>
      <x:c r="E11" s="12"/>
      <x:c r="F11" s="12"/>
      <x:c r="G11" s="12"/>
      <x:c r="H11" s="12"/>
      <x:c r="I11" s="12"/>
      <x:c r="J11" s="12"/>
      <x:c r="K11" s="28" t="str">
        <x:f>IF(AND(COUNT(D11,E11)=2,D11&gt;0),E11/D11,"n.a.")</x:f>
        <x:v>n.a.</x:v>
      </x:c>
      <x:c r="L11" s="28" t="str">
        <x:f>IF(AND(COUNT(C11,F11)=2,C11&gt;0),F11/C11,"n.a.")</x:f>
        <x:v>n.a.</x:v>
      </x:c>
      <x:c r="M11" s="29" t="str">
        <x:f>IF(AND(COUNT(G11,F11)=2,F11&gt;0),G11/F11,"n.a.")</x:f>
        <x:v>n.a.</x:v>
      </x:c>
      <x:c r="N11" s="29" t="str">
        <x:f>IF(COUNT(H11,I11)=2,H11*I11/60,"n.a.")</x:f>
        <x:v>n.a.</x:v>
      </x:c>
      <x:c r="O11" s="29" t="str">
        <x:f>IF(AND(COUNT(G11,N11,F11)=3,F11&gt;0),(G11+N11)/F11,"n.a.")</x:f>
        <x:v>n.a.</x:v>
      </x:c>
      <x:c r="P11" t="str">
        <x:f>IF(COUNT(C11:F11)&lt;4,"n.a.",IF(AND(C11&gt;=D11,D11&gt;=E11,E11&gt;=F11),"Check cohort evidence","Check inconsistent counts"))</x:f>
        <x:v>n.a.</x:v>
      </x:c>
    </x:row>
    <x:row r="12" ht="24" customHeight="1">
      <x:c r="A12" s="13"/>
      <x:c r="B12" s="12"/>
      <x:c r="C12" s="12"/>
      <x:c r="D12" s="12"/>
      <x:c r="E12" s="12"/>
      <x:c r="F12" s="12"/>
      <x:c r="G12" s="12"/>
      <x:c r="H12" s="12"/>
      <x:c r="I12" s="12"/>
      <x:c r="J12" s="12"/>
      <x:c r="K12" s="28" t="str">
        <x:f>IF(AND(COUNT(D12,E12)=2,D12&gt;0),E12/D12,"n.a.")</x:f>
        <x:v>n.a.</x:v>
      </x:c>
      <x:c r="L12" s="28" t="str">
        <x:f>IF(AND(COUNT(C12,F12)=2,C12&gt;0),F12/C12,"n.a.")</x:f>
        <x:v>n.a.</x:v>
      </x:c>
      <x:c r="M12" s="29" t="str">
        <x:f>IF(AND(COUNT(G12,F12)=2,F12&gt;0),G12/F12,"n.a.")</x:f>
        <x:v>n.a.</x:v>
      </x:c>
      <x:c r="N12" s="29" t="str">
        <x:f>IF(COUNT(H12,I12)=2,H12*I12/60,"n.a.")</x:f>
        <x:v>n.a.</x:v>
      </x:c>
      <x:c r="O12" s="29" t="str">
        <x:f>IF(AND(COUNT(G12,N12,F12)=3,F12&gt;0),(G12+N12)/F12,"n.a.")</x:f>
        <x:v>n.a.</x:v>
      </x:c>
      <x:c r="P12" t="str">
        <x:f>IF(COUNT(C12:F12)&lt;4,"n.a.",IF(AND(C12&gt;=D12,D12&gt;=E12,E12&gt;=F12),"Check cohort evidence","Check inconsistent counts"))</x:f>
        <x:v>n.a.</x:v>
      </x:c>
    </x:row>
    <x:row r="13" ht="24" customHeight="1">
      <x:c r="A13" s="13"/>
      <x:c r="B13" s="12"/>
      <x:c r="C13" s="12"/>
      <x:c r="D13" s="12"/>
      <x:c r="E13" s="12"/>
      <x:c r="F13" s="12"/>
      <x:c r="G13" s="12"/>
      <x:c r="H13" s="12"/>
      <x:c r="I13" s="12"/>
      <x:c r="J13" s="12"/>
      <x:c r="K13" s="28" t="str">
        <x:f>IF(AND(COUNT(D13,E13)=2,D13&gt;0),E13/D13,"n.a.")</x:f>
        <x:v>n.a.</x:v>
      </x:c>
      <x:c r="L13" s="28" t="str">
        <x:f>IF(AND(COUNT(C13,F13)=2,C13&gt;0),F13/C13,"n.a.")</x:f>
        <x:v>n.a.</x:v>
      </x:c>
      <x:c r="M13" s="29" t="str">
        <x:f>IF(AND(COUNT(G13,F13)=2,F13&gt;0),G13/F13,"n.a.")</x:f>
        <x:v>n.a.</x:v>
      </x:c>
      <x:c r="N13" s="29" t="str">
        <x:f>IF(COUNT(H13,I13)=2,H13*I13/60,"n.a.")</x:f>
        <x:v>n.a.</x:v>
      </x:c>
      <x:c r="O13" s="29" t="str">
        <x:f>IF(AND(COUNT(G13,N13,F13)=3,F13&gt;0),(G13+N13)/F13,"n.a.")</x:f>
        <x:v>n.a.</x:v>
      </x:c>
      <x:c r="P13" t="str">
        <x:f>IF(COUNT(C13:F13)&lt;4,"n.a.",IF(AND(C13&gt;=D13,D13&gt;=E13,E13&gt;=F13),"Check cohort evidence","Check inconsistent counts"))</x:f>
        <x:v>n.a.</x:v>
      </x:c>
    </x:row>
    <x:row r="14" ht="24" customHeight="1">
      <x:c r="A14" s="13"/>
      <x:c r="B14" s="12"/>
      <x:c r="C14" s="12"/>
      <x:c r="D14" s="12"/>
      <x:c r="E14" s="12"/>
      <x:c r="F14" s="12"/>
      <x:c r="G14" s="12"/>
      <x:c r="H14" s="12"/>
      <x:c r="I14" s="12"/>
      <x:c r="J14" s="12"/>
      <x:c r="K14" s="28" t="str">
        <x:f>IF(AND(COUNT(D14,E14)=2,D14&gt;0),E14/D14,"n.a.")</x:f>
        <x:v>n.a.</x:v>
      </x:c>
      <x:c r="L14" s="28" t="str">
        <x:f>IF(AND(COUNT(C14,F14)=2,C14&gt;0),F14/C14,"n.a.")</x:f>
        <x:v>n.a.</x:v>
      </x:c>
      <x:c r="M14" s="29" t="str">
        <x:f>IF(AND(COUNT(G14,F14)=2,F14&gt;0),G14/F14,"n.a.")</x:f>
        <x:v>n.a.</x:v>
      </x:c>
      <x:c r="N14" s="29" t="str">
        <x:f>IF(COUNT(H14,I14)=2,H14*I14/60,"n.a.")</x:f>
        <x:v>n.a.</x:v>
      </x:c>
      <x:c r="O14" s="29" t="str">
        <x:f>IF(AND(COUNT(G14,N14,F14)=3,F14&gt;0),(G14+N14)/F14,"n.a.")</x:f>
        <x:v>n.a.</x:v>
      </x:c>
      <x:c r="P14" t="str">
        <x:f>IF(COUNT(C14:F14)&lt;4,"n.a.",IF(AND(C14&gt;=D14,D14&gt;=E14,E14&gt;=F14),"Check cohort evidence","Check inconsistent counts"))</x:f>
        <x:v>n.a.</x:v>
      </x:c>
    </x:row>
    <x:row r="15" ht="24" customHeight="1">
      <x:c r="A15" s="13"/>
      <x:c r="B15" s="12"/>
      <x:c r="C15" s="12"/>
      <x:c r="D15" s="12"/>
      <x:c r="E15" s="12"/>
      <x:c r="F15" s="12"/>
      <x:c r="G15" s="12"/>
      <x:c r="H15" s="12"/>
      <x:c r="I15" s="12"/>
      <x:c r="J15" s="12"/>
      <x:c r="K15" s="28" t="str">
        <x:f>IF(AND(COUNT(D15,E15)=2,D15&gt;0),E15/D15,"n.a.")</x:f>
        <x:v>n.a.</x:v>
      </x:c>
      <x:c r="L15" s="28" t="str">
        <x:f>IF(AND(COUNT(C15,F15)=2,C15&gt;0),F15/C15,"n.a.")</x:f>
        <x:v>n.a.</x:v>
      </x:c>
      <x:c r="M15" s="29" t="str">
        <x:f>IF(AND(COUNT(G15,F15)=2,F15&gt;0),G15/F15,"n.a.")</x:f>
        <x:v>n.a.</x:v>
      </x:c>
      <x:c r="N15" s="29" t="str">
        <x:f>IF(COUNT(H15,I15)=2,H15*I15/60,"n.a.")</x:f>
        <x:v>n.a.</x:v>
      </x:c>
      <x:c r="O15" s="29" t="str">
        <x:f>IF(AND(COUNT(G15,N15,F15)=3,F15&gt;0),(G15+N15)/F15,"n.a.")</x:f>
        <x:v>n.a.</x:v>
      </x:c>
      <x:c r="P15" t="str">
        <x:f>IF(COUNT(C15:F15)&lt;4,"n.a.",IF(AND(C15&gt;=D15,D15&gt;=E15,E15&gt;=F15),"Check cohort evidence","Check inconsistent counts"))</x:f>
        <x:v>n.a.</x:v>
      </x:c>
    </x:row>
    <x:row r="16" ht="24" customHeight="1">
      <x:c r="A16" s="13"/>
      <x:c r="B16" s="12"/>
      <x:c r="C16" s="12"/>
      <x:c r="D16" s="12"/>
      <x:c r="E16" s="12"/>
      <x:c r="F16" s="12"/>
      <x:c r="G16" s="12"/>
      <x:c r="H16" s="12"/>
      <x:c r="I16" s="12"/>
      <x:c r="J16" s="12"/>
      <x:c r="K16" s="28" t="str">
        <x:f>IF(AND(COUNT(D16,E16)=2,D16&gt;0),E16/D16,"n.a.")</x:f>
        <x:v>n.a.</x:v>
      </x:c>
      <x:c r="L16" s="28" t="str">
        <x:f>IF(AND(COUNT(C16,F16)=2,C16&gt;0),F16/C16,"n.a.")</x:f>
        <x:v>n.a.</x:v>
      </x:c>
      <x:c r="M16" s="29" t="str">
        <x:f>IF(AND(COUNT(G16,F16)=2,F16&gt;0),G16/F16,"n.a.")</x:f>
        <x:v>n.a.</x:v>
      </x:c>
      <x:c r="N16" s="29" t="str">
        <x:f>IF(COUNT(H16,I16)=2,H16*I16/60,"n.a.")</x:f>
        <x:v>n.a.</x:v>
      </x:c>
      <x:c r="O16" s="29" t="str">
        <x:f>IF(AND(COUNT(G16,N16,F16)=3,F16&gt;0),(G16+N16)/F16,"n.a.")</x:f>
        <x:v>n.a.</x:v>
      </x:c>
      <x:c r="P16" t="str">
        <x:f>IF(COUNT(C16:F16)&lt;4,"n.a.",IF(AND(C16&gt;=D16,D16&gt;=E16,E16&gt;=F16),"Check cohort evidence","Check inconsistent counts"))</x:f>
        <x:v>n.a.</x:v>
      </x:c>
    </x:row>
  </x:sheetData>
  <x:dataValidations count="1">
    <x:dataValidation type="whole" operator="greaterThanOrEqual" sqref="C7:F16">
      <x:formula1>0</x:formula1>
    </x:dataValidation>
  </x:dataValidations>
  <x:pageMargins left="0.7" right="0.7" top="0.75" bottom="0.75" header="0.3" footer="0.3"/>
</x:worksheet>
</file>